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Forecast" sheetId="2" state="visible" r:id="rId4"/>
    <sheet name="Calendar" sheetId="3" state="visible" r:id="rId5"/>
    <sheet name="Bills" sheetId="4" state="visible" r:id="rId6"/>
    <sheet name="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3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Pay week. Defaults to the due week; type a week number to test a pay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29</xdr:rowOff>
              </xdr:from>
              <xdr:to>
                <xdr:col>1</xdr:col>
                <xdr:colOff>119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<sst xmlns="http://schemas.openxmlformats.org/spreadsheetml/2006/main" count="198" uniqueCount="174">
  <si>
    <t xml:space="preserve">Fernwood Goods: 13-week cash forecast inputs</t>
  </si>
  <si>
    <t xml:space="preserve">Synthetic brand. Blue cells are inputs; black cells are formulas. Values come from the corrected plan P&amp;L (docs/fernwood_pnl.md) and the onboarded ledger's calendars.</t>
  </si>
  <si>
    <t xml:space="preserve">Input</t>
  </si>
  <si>
    <t xml:space="preserve">Value</t>
  </si>
  <si>
    <t xml:space="preserve">Source / note</t>
  </si>
  <si>
    <t xml:space="preserve">Forecast week 0 starts (Monday)</t>
  </si>
  <si>
    <t xml:space="preserve">Actuals through Oct 25, 2026</t>
  </si>
  <si>
    <t xml:space="preserve">Shopify gross sales, average history week</t>
  </si>
  <si>
    <t xml:space="preserve">Plan revenue x DTC mix, scaled to an average Jul-Oct week</t>
  </si>
  <si>
    <t xml:space="preserve">Amazon sales, average history week</t>
  </si>
  <si>
    <t xml:space="preserve">Plan revenue x Amazon mix</t>
  </si>
  <si>
    <t xml:space="preserve">Wholesale invoices, average history week</t>
  </si>
  <si>
    <t xml:space="preserve">Plan revenue x wholesale mix</t>
  </si>
  <si>
    <t xml:space="preserve">History seasonality (avg of Jul-Oct multipliers)</t>
  </si>
  <si>
    <t xml:space="preserve">Formula on the month table</t>
  </si>
  <si>
    <t xml:space="preserve">Refund rate</t>
  </si>
  <si>
    <t xml:space="preserve">Plan: 6% of revenue</t>
  </si>
  <si>
    <t xml:space="preserve">Refund rate, January</t>
  </si>
  <si>
    <t xml:space="preserve">Plan: post-holiday returns</t>
  </si>
  <si>
    <t xml:space="preserve">Payment processing fees</t>
  </si>
  <si>
    <t xml:space="preserve">Plan: 3% of revenue</t>
  </si>
  <si>
    <t xml:space="preserve">Chargebacks</t>
  </si>
  <si>
    <t xml:space="preserve">Default for the portfolio</t>
  </si>
  <si>
    <t xml:space="preserve">Share of a week's net paid out the following week</t>
  </si>
  <si>
    <t xml:space="preserve">About 2 of 7 days</t>
  </si>
  <si>
    <t xml:space="preserve">Amazon fees</t>
  </si>
  <si>
    <t xml:space="preserve">Referral and FBA, portfolio default</t>
  </si>
  <si>
    <t xml:space="preserve">Faire share of wholesale</t>
  </si>
  <si>
    <t xml:space="preserve">Kickoff call</t>
  </si>
  <si>
    <t xml:space="preserve">Faire pays after (weeks)</t>
  </si>
  <si>
    <t xml:space="preserve">Hudson Mercantile share of wholesale</t>
  </si>
  <si>
    <t xml:space="preserve">Hudson Mercantile pays after (weeks)</t>
  </si>
  <si>
    <t xml:space="preserve">Net 60 plus processing</t>
  </si>
  <si>
    <t xml:space="preserve">Ad spend as share of Shopify sales</t>
  </si>
  <si>
    <t xml:space="preserve">Plan: 22% of DTC; Meta 70%, Google 30%</t>
  </si>
  <si>
    <t xml:space="preserve">October ad spend per week (history)</t>
  </si>
  <si>
    <t xml:space="preserve">Formula: base x ad rate x Oct multiplier</t>
  </si>
  <si>
    <t xml:space="preserve">Software and other card spend per week</t>
  </si>
  <si>
    <t xml:space="preserve">Plan: $10K a month, part of the $34K fixed</t>
  </si>
  <si>
    <t xml:space="preserve">Payroll per run (biweekly)</t>
  </si>
  <si>
    <t xml:space="preserve">Plan: $50K biweekly</t>
  </si>
  <si>
    <t xml:space="preserve">Fixed costs paid from the bank on the 1st</t>
  </si>
  <si>
    <t xml:space="preserve">Plan: $34K a month, less $10K paid on the card</t>
  </si>
  <si>
    <t xml:space="preserve">Sales tax remitted on the 20th, share of last month's Shopify sales</t>
  </si>
  <si>
    <t xml:space="preserve">Plan</t>
  </si>
  <si>
    <t xml:space="preserve">Bank fees and other small payments per week</t>
  </si>
  <si>
    <t xml:space="preserve">Ledger</t>
  </si>
  <si>
    <t xml:space="preserve">Opening cash, Oct 26</t>
  </si>
  <si>
    <t xml:space="preserve">Lowered from the first draft's $1.0M</t>
  </si>
  <si>
    <t xml:space="preserve">Cash buffer policy</t>
  </si>
  <si>
    <t xml:space="preserve">Founder's minimum</t>
  </si>
  <si>
    <t xml:space="preserve">Credit line limit</t>
  </si>
  <si>
    <t xml:space="preserve">Illustrative</t>
  </si>
  <si>
    <t xml:space="preserve">Credit line drawn today</t>
  </si>
  <si>
    <t xml:space="preserve">Credit line APR</t>
  </si>
  <si>
    <t xml:space="preserve">Draws are made in multiples of</t>
  </si>
  <si>
    <t xml:space="preserve">actions/vendor_rules.yaml</t>
  </si>
  <si>
    <t xml:space="preserve">BFCM week starts</t>
  </si>
  <si>
    <t xml:space="preserve">BFCM week ends</t>
  </si>
  <si>
    <t xml:space="preserve">Share of November sales in BFCM week</t>
  </si>
  <si>
    <t xml:space="preserve">Seasonality assumption</t>
  </si>
  <si>
    <t xml:space="preserve">Sales seasonality by month (1.00 = May)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</si>
  <si>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</si>
  <si>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</si>
  <si>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</si>
  <si>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</si>
  <si>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</si>
  <si>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</si>
  <si>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</si>
  <si>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</si>
  <si>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</si>
  <si>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</si>
  <si>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</si>
  <si>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</si>
  <si>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Fernwood Goods: 13-week direct cash forecast (synthetic)</t>
  </si>
  <si>
    <t xml:space="preserve">Grey columns are history weeks used by lags and terms. Cash rows start in week 0. Positive = cash in.</t>
  </si>
  <si>
    <t xml:space="preserve">Week</t>
  </si>
  <si>
    <t xml:space="preserve">Week starting</t>
  </si>
  <si>
    <t xml:space="preserve">Sales multiplier vs average history week</t>
  </si>
  <si>
    <t xml:space="preserve">Shopify gross sales</t>
  </si>
  <si>
    <t xml:space="preserve">Refunds</t>
  </si>
  <si>
    <t xml:space="preserve">Processing fees</t>
  </si>
  <si>
    <t xml:space="preserve">Shopify net sales</t>
  </si>
  <si>
    <t xml:space="preserve">Shopify payouts</t>
  </si>
  <si>
    <t xml:space="preserve">Amazon sales</t>
  </si>
  <si>
    <t xml:space="preserve">Amazon settlements</t>
  </si>
  <si>
    <t xml:space="preserve">Faire invoices issued</t>
  </si>
  <si>
    <t xml:space="preserve">Hudson Mercantile invoices issued</t>
  </si>
  <si>
    <t xml:space="preserve">Wholesale receipts</t>
  </si>
  <si>
    <t xml:space="preserve">Payroll run this week (1/0)</t>
  </si>
  <si>
    <t xml:space="preserve">Payroll</t>
  </si>
  <si>
    <t xml:space="preserve">Inventory purchase orders</t>
  </si>
  <si>
    <t xml:space="preserve">Freight and duty</t>
  </si>
  <si>
    <t xml:space="preserve">3PL invoices</t>
  </si>
  <si>
    <t xml:space="preserve">Packaging and software bills</t>
  </si>
  <si>
    <t xml:space="preserve">Card autopay</t>
  </si>
  <si>
    <t xml:space="preserve">Fixed costs</t>
  </si>
  <si>
    <t xml:space="preserve">Sales tax</t>
  </si>
  <si>
    <t xml:space="preserve">Credit line interest</t>
  </si>
  <si>
    <t xml:space="preserve">Bank fees and other</t>
  </si>
  <si>
    <t xml:space="preserve">Net cash flow</t>
  </si>
  <si>
    <t xml:space="preserve">Opening cash</t>
  </si>
  <si>
    <t xml:space="preserve">Closing cash</t>
  </si>
  <si>
    <t xml:space="preserve">Cash buffer</t>
  </si>
  <si>
    <t xml:space="preserve">Under buffer by</t>
  </si>
  <si>
    <t xml:space="preserve">Watch: ad spend charged to the card (paid with next month's autopay)</t>
  </si>
  <si>
    <t xml:space="preserve">Summary</t>
  </si>
  <si>
    <t xml:space="preserve">Low point (closing cash)</t>
  </si>
  <si>
    <t xml:space="preserve">Low point week</t>
  </si>
  <si>
    <t xml:space="preserve">Gap to buffer</t>
  </si>
  <si>
    <t xml:space="preserve">Credit draw to hold the buffer</t>
  </si>
  <si>
    <t xml:space="preserve">Credit headroom</t>
  </si>
  <si>
    <t xml:space="preserve">Draw fits the line?</t>
  </si>
  <si>
    <t xml:space="preserve">Ending cash</t>
  </si>
  <si>
    <t xml:space="preserve">Date</t>
  </si>
  <si>
    <t xml:space="preserve">Month key</t>
  </si>
  <si>
    <t xml:space="preserve">Sales intensity</t>
  </si>
  <si>
    <t xml:space="preserve">Prior month key</t>
  </si>
  <si>
    <t xml:space="preserve">Share of week</t>
  </si>
  <si>
    <t xml:space="preserve">Shopify gross</t>
  </si>
  <si>
    <t xml:space="preserve">Card spend</t>
  </si>
  <si>
    <t xml:space="preserve">Card autopay due</t>
  </si>
  <si>
    <t xml:space="preserve">Fixed costs due</t>
  </si>
  <si>
    <t xml:space="preserve">Interest due</t>
  </si>
  <si>
    <t xml:space="preserve">Sales tax due</t>
  </si>
  <si>
    <t xml:space="preserve">Bill</t>
  </si>
  <si>
    <t xml:space="preserve">Vendor</t>
  </si>
  <si>
    <t xml:space="preserve">Cash line</t>
  </si>
  <si>
    <t xml:space="preserve">Issue week</t>
  </si>
  <si>
    <t xml:space="preserve">Due week</t>
  </si>
  <si>
    <t xml:space="preserve">Pay week</t>
  </si>
  <si>
    <t xml:space="preserve">Priced on month</t>
  </si>
  <si>
    <t xml:space="preserve">Priced on sales</t>
  </si>
  <si>
    <t xml:space="preserve">Rate</t>
  </si>
  <si>
    <t xml:space="preserve">Amount</t>
  </si>
  <si>
    <t xml:space="preserve">Early-pay discount</t>
  </si>
  <si>
    <t xml:space="preserve">Take discount (1/0)</t>
  </si>
  <si>
    <t xml:space="preserve">Cash paid</t>
  </si>
  <si>
    <t xml:space="preserve">Discount deadline week</t>
  </si>
  <si>
    <t xml:space="preserve">Criticality</t>
  </si>
  <si>
    <t xml:space="preserve">PO-BFCM-BAL</t>
  </si>
  <si>
    <t xml:space="preserve">Kestrel Knitworks Ltd</t>
  </si>
  <si>
    <t xml:space="preserve">inventory</t>
  </si>
  <si>
    <t xml:space="preserve">critical</t>
  </si>
  <si>
    <t xml:space="preserve">PO-SPRING-DEP</t>
  </si>
  <si>
    <t xml:space="preserve">Halden Textile Co</t>
  </si>
  <si>
    <t xml:space="preserve">FRT-BFCM</t>
  </si>
  <si>
    <t xml:space="preserve">Harborline Freight</t>
  </si>
  <si>
    <t xml:space="preserve">freight_duty</t>
  </si>
  <si>
    <t xml:space="preserve">high</t>
  </si>
  <si>
    <t xml:space="preserve">TPL-202611</t>
  </si>
  <si>
    <t xml:space="preserve">ShipNest 3PL</t>
  </si>
  <si>
    <t xml:space="preserve">fulfillment_3pl</t>
  </si>
  <si>
    <t xml:space="preserve">TPL-202612</t>
  </si>
  <si>
    <t xml:space="preserve">TPL-202701</t>
  </si>
  <si>
    <t xml:space="preserve">PKG-202611</t>
  </si>
  <si>
    <t xml:space="preserve">Noble Box Co</t>
  </si>
  <si>
    <t xml:space="preserve">other_ap</t>
  </si>
  <si>
    <t xml:space="preserve">normal</t>
  </si>
  <si>
    <t xml:space="preserve">PKG-202612</t>
  </si>
  <si>
    <t xml:space="preserve">PKG-202701</t>
  </si>
  <si>
    <t xml:space="preserve">SAAS-ANNUAL</t>
  </si>
  <si>
    <t xml:space="preserve">Gorgias</t>
  </si>
  <si>
    <t xml:space="preserve">low</t>
  </si>
  <si>
    <t xml:space="preserve">Set column L to 1 and column F to the discount deadline to take an early-pay discount; the Forecast tab updates.</t>
  </si>
  <si>
    <t xml:space="preserve">Workbook vs Python engine (world/engine.py), same inputs</t>
  </si>
  <si>
    <t xml:space="preserve">Column C is pasted from a Python run; column B is this workbook's formula result.</t>
  </si>
  <si>
    <t xml:space="preserve">Workbook closing cash</t>
  </si>
  <si>
    <t xml:space="preserve">Python closing cash</t>
  </si>
  <si>
    <t xml:space="preserve">Difference</t>
  </si>
  <si>
    <t xml:space="preserve">Difference %</t>
  </si>
  <si>
    <t xml:space="preserve">Largest difference %</t>
  </si>
  <si>
    <t xml:space="preserve">Python low point</t>
  </si>
  <si>
    <t xml:space="preserve">Workbook low point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</si>
</sst>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mm\ d&quot;, &quot;yyyy"/>
    <numFmt numFmtId="166" formatCode="\$#,##0;&quot;($&quot;#,##0\);\-"/>
    <numFmt numFmtId="167" formatCode="0.0000"/>
    <numFmt numFmtId="168" formatCode="0.0%"/>
    <numFmt numFmtId="169" formatCode="0"/>
    <numFmt numFmtId="170" formatCode="0.00"/>
    <numFmt numFmtId="171" formatCode="mmm\ d"/>
    <numFmt numFmtId="172" formatCode="0.000"/>
    <numFmt numFmtId="173" formatCode="@"/>
    <numFmt numFmtId="174" formatCode="ddd\ mmm\ d&quot;, &quot;yyyy"/>
    <numFmt numFmtId="175" formatCode="General"/>
    <numFmt numFmtId="176" formatCode="0.00%"/>
    <numFmt numFmtId="177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4EE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46321</v>
      </c>
      <c r="C5" s="3" t="s">
        <v>6</v>
      </c>
    </row>
    <row r="6" customFormat="false" ht="15" hidden="false" customHeight="false" outlineLevel="0" collapsed="false">
      <c r="A6" s="5" t="s">
        <v>7</v>
      </c>
      <c r="B6" s="7" t="n">
        <v>114581.12737465</v>
      </c>
      <c r="C6" s="3" t="s">
        <v>8</v>
      </c>
    </row>
    <row r="7" customFormat="false" ht="15" hidden="false" customHeight="false" outlineLevel="0" collapsed="false">
      <c r="A7" s="5" t="s">
        <v>9</v>
      </c>
      <c r="B7" s="7" t="n">
        <v>11458.112737465</v>
      </c>
      <c r="C7" s="3" t="s">
        <v>10</v>
      </c>
    </row>
    <row r="8" customFormat="false" ht="15" hidden="false" customHeight="false" outlineLevel="0" collapsed="false">
      <c r="A8" s="5" t="s">
        <v>11</v>
      </c>
      <c r="B8" s="7" t="n">
        <v>17187.1691061975</v>
      </c>
      <c r="C8" s="3" t="s">
        <v>12</v>
      </c>
    </row>
    <row r="9" customFormat="false" ht="15" hidden="false" customHeight="false" outlineLevel="0" collapsed="false">
      <c r="A9" s="5" t="s">
        <v>13</v>
      </c>
      <c r="B9" s="8" t="n">
        <f aca="false">AVERAGE(B44:B47)</f>
        <v>0.9125</v>
      </c>
      <c r="C9" s="3" t="s">
        <v>14</v>
      </c>
    </row>
    <row r="10" customFormat="false" ht="15" hidden="false" customHeight="false" outlineLevel="0" collapsed="false">
      <c r="A10" s="5" t="s">
        <v>15</v>
      </c>
      <c r="B10" s="9" t="n">
        <v>0.06</v>
      </c>
      <c r="C10" s="3" t="s">
        <v>16</v>
      </c>
    </row>
    <row r="11" customFormat="false" ht="15" hidden="false" customHeight="false" outlineLevel="0" collapsed="false">
      <c r="A11" s="5" t="s">
        <v>17</v>
      </c>
      <c r="B11" s="9" t="n">
        <v>0.09</v>
      </c>
      <c r="C11" s="3" t="s">
        <v>18</v>
      </c>
    </row>
    <row r="12" customFormat="false" ht="15" hidden="false" customHeight="false" outlineLevel="0" collapsed="false">
      <c r="A12" s="5" t="s">
        <v>19</v>
      </c>
      <c r="B12" s="9" t="n">
        <v>0.03</v>
      </c>
      <c r="C12" s="3" t="s">
        <v>20</v>
      </c>
    </row>
    <row r="13" customFormat="false" ht="15" hidden="false" customHeight="false" outlineLevel="0" collapsed="false">
      <c r="A13" s="5" t="s">
        <v>21</v>
      </c>
      <c r="B13" s="9" t="n">
        <v>0.002</v>
      </c>
      <c r="C13" s="3" t="s">
        <v>22</v>
      </c>
    </row>
    <row r="14" customFormat="false" ht="15" hidden="false" customHeight="false" outlineLevel="0" collapsed="false">
      <c r="A14" s="5" t="s">
        <v>23</v>
      </c>
      <c r="B14" s="9" t="n">
        <v>0.2857</v>
      </c>
      <c r="C14" s="3" t="s">
        <v>24</v>
      </c>
    </row>
    <row r="15" customFormat="false" ht="15" hidden="false" customHeight="false" outlineLevel="0" collapsed="false">
      <c r="A15" s="5" t="s">
        <v>25</v>
      </c>
      <c r="B15" s="9" t="n">
        <v>0.3</v>
      </c>
      <c r="C15" s="3" t="s">
        <v>26</v>
      </c>
    </row>
    <row r="16" customFormat="false" ht="15" hidden="false" customHeight="false" outlineLevel="0" collapsed="false">
      <c r="A16" s="5" t="s">
        <v>27</v>
      </c>
      <c r="B16" s="9" t="n">
        <v>0.6</v>
      </c>
      <c r="C16" s="3" t="s">
        <v>28</v>
      </c>
    </row>
    <row r="17" customFormat="false" ht="15" hidden="false" customHeight="false" outlineLevel="0" collapsed="false">
      <c r="A17" s="5" t="s">
        <v>29</v>
      </c>
      <c r="B17" s="10" t="n">
        <v>1</v>
      </c>
      <c r="C17" s="3" t="s">
        <v>28</v>
      </c>
    </row>
    <row r="18" customFormat="false" ht="15" hidden="false" customHeight="false" outlineLevel="0" collapsed="false">
      <c r="A18" s="5" t="s">
        <v>30</v>
      </c>
      <c r="B18" s="9" t="n">
        <v>0.4</v>
      </c>
      <c r="C18" s="3" t="s">
        <v>28</v>
      </c>
    </row>
    <row r="19" customFormat="false" ht="15" hidden="false" customHeight="false" outlineLevel="0" collapsed="false">
      <c r="A19" s="5" t="s">
        <v>31</v>
      </c>
      <c r="B19" s="10" t="n">
        <v>9</v>
      </c>
      <c r="C19" s="3" t="s">
        <v>32</v>
      </c>
    </row>
    <row r="20" customFormat="false" ht="15" hidden="false" customHeight="false" outlineLevel="0" collapsed="false">
      <c r="A20" s="5" t="s">
        <v>33</v>
      </c>
      <c r="B20" s="9" t="n">
        <v>0.22</v>
      </c>
      <c r="C20" s="3" t="s">
        <v>34</v>
      </c>
    </row>
    <row r="21" customFormat="false" ht="15" hidden="false" customHeight="false" outlineLevel="0" collapsed="false">
      <c r="A21" s="5" t="s">
        <v>35</v>
      </c>
      <c r="B21" s="11" t="n">
        <f aca="false">Inputs!$B$6*Inputs!$B$20*B47/Inputs!$B$9</f>
        <v>27625.0389286826</v>
      </c>
      <c r="C21" s="3" t="s">
        <v>36</v>
      </c>
    </row>
    <row r="22" customFormat="false" ht="15" hidden="false" customHeight="false" outlineLevel="0" collapsed="false">
      <c r="A22" s="5" t="s">
        <v>37</v>
      </c>
      <c r="B22" s="7" t="n">
        <v>2307.69230769231</v>
      </c>
      <c r="C22" s="3" t="s">
        <v>38</v>
      </c>
    </row>
    <row r="23" customFormat="false" ht="15" hidden="false" customHeight="false" outlineLevel="0" collapsed="false">
      <c r="A23" s="5" t="s">
        <v>39</v>
      </c>
      <c r="B23" s="7" t="n">
        <v>50000</v>
      </c>
      <c r="C23" s="3" t="s">
        <v>40</v>
      </c>
    </row>
    <row r="24" customFormat="false" ht="15" hidden="false" customHeight="false" outlineLevel="0" collapsed="false">
      <c r="A24" s="5" t="s">
        <v>41</v>
      </c>
      <c r="B24" s="7" t="n">
        <v>24000</v>
      </c>
      <c r="C24" s="3" t="s">
        <v>42</v>
      </c>
    </row>
    <row r="25" customFormat="false" ht="15" hidden="false" customHeight="false" outlineLevel="0" collapsed="false">
      <c r="A25" s="5" t="s">
        <v>43</v>
      </c>
      <c r="B25" s="9" t="n">
        <v>0.04</v>
      </c>
      <c r="C25" s="3" t="s">
        <v>44</v>
      </c>
    </row>
    <row r="26" customFormat="false" ht="15" hidden="false" customHeight="false" outlineLevel="0" collapsed="false">
      <c r="A26" s="5" t="s">
        <v>45</v>
      </c>
      <c r="B26" s="7" t="n">
        <v>160.9375</v>
      </c>
      <c r="C26" s="3" t="s">
        <v>46</v>
      </c>
    </row>
    <row r="27" customFormat="false" ht="15" hidden="false" customHeight="false" outlineLevel="0" collapsed="false">
      <c r="A27" s="5" t="s">
        <v>47</v>
      </c>
      <c r="B27" s="12" t="n">
        <v>300000</v>
      </c>
      <c r="C27" s="3" t="s">
        <v>48</v>
      </c>
    </row>
    <row r="28" customFormat="false" ht="15" hidden="false" customHeight="false" outlineLevel="0" collapsed="false">
      <c r="A28" s="5" t="s">
        <v>49</v>
      </c>
      <c r="B28" s="12" t="n">
        <v>300000</v>
      </c>
      <c r="C28" s="3" t="s">
        <v>50</v>
      </c>
    </row>
    <row r="29" customFormat="false" ht="15" hidden="false" customHeight="false" outlineLevel="0" collapsed="false">
      <c r="A29" s="5" t="s">
        <v>51</v>
      </c>
      <c r="B29" s="7" t="n">
        <v>1500000</v>
      </c>
      <c r="C29" s="3" t="s">
        <v>52</v>
      </c>
    </row>
    <row r="30" customFormat="false" ht="15" hidden="false" customHeight="false" outlineLevel="0" collapsed="false">
      <c r="A30" s="5" t="s">
        <v>53</v>
      </c>
      <c r="B30" s="7" t="n">
        <v>400000</v>
      </c>
      <c r="C30" s="3" t="s">
        <v>52</v>
      </c>
    </row>
    <row r="31" customFormat="false" ht="15" hidden="false" customHeight="false" outlineLevel="0" collapsed="false">
      <c r="A31" s="5" t="s">
        <v>54</v>
      </c>
      <c r="B31" s="9" t="n">
        <v>0.11</v>
      </c>
      <c r="C31" s="3" t="s">
        <v>52</v>
      </c>
    </row>
    <row r="32" customFormat="false" ht="15" hidden="false" customHeight="false" outlineLevel="0" collapsed="false">
      <c r="A32" s="5" t="s">
        <v>55</v>
      </c>
      <c r="B32" s="7" t="n">
        <v>25000</v>
      </c>
      <c r="C32" s="3" t="s">
        <v>56</v>
      </c>
    </row>
    <row r="33" customFormat="false" ht="15" hidden="false" customHeight="false" outlineLevel="0" collapsed="false">
      <c r="A33" s="5" t="s">
        <v>57</v>
      </c>
      <c r="B33" s="6" t="n">
        <v>46349</v>
      </c>
      <c r="C33" s="3"/>
    </row>
    <row r="34" customFormat="false" ht="15" hidden="false" customHeight="false" outlineLevel="0" collapsed="false">
      <c r="A34" s="5" t="s">
        <v>58</v>
      </c>
      <c r="B34" s="6" t="n">
        <v>46355</v>
      </c>
      <c r="C34" s="3"/>
    </row>
    <row r="35" customFormat="false" ht="15" hidden="false" customHeight="false" outlineLevel="0" collapsed="false">
      <c r="A35" s="5" t="s">
        <v>59</v>
      </c>
      <c r="B35" s="9" t="n">
        <v>0.4</v>
      </c>
      <c r="C35" s="3" t="s">
        <v>60</v>
      </c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13" t="s">
        <v>61</v>
      </c>
      <c r="B37" s="2"/>
      <c r="C37" s="2"/>
    </row>
    <row r="38" customFormat="false" ht="15" hidden="false" customHeight="false" outlineLevel="0" collapsed="false">
      <c r="A38" s="5" t="s">
        <v>62</v>
      </c>
      <c r="B38" s="14" t="n">
        <v>0.7</v>
      </c>
      <c r="C38" s="2"/>
    </row>
    <row r="39" customFormat="false" ht="15" hidden="false" customHeight="false" outlineLevel="0" collapsed="false">
      <c r="A39" s="5" t="s">
        <v>63</v>
      </c>
      <c r="B39" s="14" t="n">
        <v>0.7</v>
      </c>
      <c r="C39" s="2"/>
    </row>
    <row r="40" customFormat="false" ht="15" hidden="false" customHeight="false" outlineLevel="0" collapsed="false">
      <c r="A40" s="5" t="s">
        <v>64</v>
      </c>
      <c r="B40" s="14" t="n">
        <v>0.85</v>
      </c>
      <c r="C40" s="2"/>
    </row>
    <row r="41" customFormat="false" ht="15" hidden="false" customHeight="false" outlineLevel="0" collapsed="false">
      <c r="A41" s="5" t="s">
        <v>65</v>
      </c>
      <c r="B41" s="14" t="n">
        <v>0.9</v>
      </c>
      <c r="C41" s="2"/>
    </row>
    <row r="42" customFormat="false" ht="15" hidden="false" customHeight="false" outlineLevel="0" collapsed="false">
      <c r="A42" s="5" t="s">
        <v>66</v>
      </c>
      <c r="B42" s="14" t="n">
        <v>1</v>
      </c>
      <c r="C42" s="2"/>
    </row>
    <row r="43" customFormat="false" ht="15" hidden="false" customHeight="false" outlineLevel="0" collapsed="false">
      <c r="A43" s="5" t="s">
        <v>67</v>
      </c>
      <c r="B43" s="14" t="n">
        <v>0.85</v>
      </c>
      <c r="C43" s="2"/>
    </row>
    <row r="44" customFormat="false" ht="15" hidden="false" customHeight="false" outlineLevel="0" collapsed="false">
      <c r="A44" s="5" t="s">
        <v>68</v>
      </c>
      <c r="B44" s="14" t="n">
        <v>0.9</v>
      </c>
      <c r="C44" s="2"/>
    </row>
    <row r="45" customFormat="false" ht="15" hidden="false" customHeight="false" outlineLevel="0" collapsed="false">
      <c r="A45" s="5" t="s">
        <v>69</v>
      </c>
      <c r="B45" s="14" t="n">
        <v>0.85</v>
      </c>
      <c r="C45" s="2"/>
    </row>
    <row r="46" customFormat="false" ht="15" hidden="false" customHeight="false" outlineLevel="0" collapsed="false">
      <c r="A46" s="5" t="s">
        <v>70</v>
      </c>
      <c r="B46" s="14" t="n">
        <v>0.9</v>
      </c>
      <c r="C46" s="2"/>
    </row>
    <row r="47" customFormat="false" ht="15" hidden="false" customHeight="false" outlineLevel="0" collapsed="false">
      <c r="A47" s="5" t="s">
        <v>71</v>
      </c>
      <c r="B47" s="14" t="n">
        <v>1</v>
      </c>
      <c r="C47" s="2"/>
    </row>
    <row r="48" customFormat="false" ht="15" hidden="false" customHeight="false" outlineLevel="0" collapsed="false">
      <c r="A48" s="5" t="s">
        <v>72</v>
      </c>
      <c r="B48" s="14" t="n">
        <v>2.1</v>
      </c>
      <c r="C48" s="2"/>
    </row>
    <row r="49" customFormat="false" ht="15" hidden="false" customHeight="false" outlineLevel="0" collapsed="false">
      <c r="A49" s="5" t="s">
        <v>73</v>
      </c>
      <c r="B49" s="14" t="n">
        <v>1.6</v>
      </c>
      <c r="C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6" min="2" style="0" width="11"/>
  </cols>
  <sheetData>
    <row r="1" customFormat="false" ht="16.1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76</v>
      </c>
      <c r="B4" s="15" t="n">
        <v>-12</v>
      </c>
      <c r="C4" s="15" t="n">
        <v>-11</v>
      </c>
      <c r="D4" s="15" t="n">
        <v>-10</v>
      </c>
      <c r="E4" s="15" t="n">
        <v>-9</v>
      </c>
      <c r="F4" s="15" t="n">
        <v>-8</v>
      </c>
      <c r="G4" s="15" t="n">
        <v>-7</v>
      </c>
      <c r="H4" s="15" t="n">
        <v>-6</v>
      </c>
      <c r="I4" s="15" t="n">
        <v>-5</v>
      </c>
      <c r="J4" s="15" t="n">
        <v>-4</v>
      </c>
      <c r="K4" s="15" t="n">
        <v>-3</v>
      </c>
      <c r="L4" s="15" t="n">
        <v>-2</v>
      </c>
      <c r="M4" s="15" t="n">
        <v>-1</v>
      </c>
      <c r="N4" s="16" t="n">
        <v>0</v>
      </c>
      <c r="O4" s="16" t="n">
        <v>1</v>
      </c>
      <c r="P4" s="16" t="n">
        <v>2</v>
      </c>
      <c r="Q4" s="16" t="n">
        <v>3</v>
      </c>
      <c r="R4" s="16" t="n">
        <v>4</v>
      </c>
      <c r="S4" s="16" t="n">
        <v>5</v>
      </c>
      <c r="T4" s="16" t="n">
        <v>6</v>
      </c>
      <c r="U4" s="16" t="n">
        <v>7</v>
      </c>
      <c r="V4" s="16" t="n">
        <v>8</v>
      </c>
      <c r="W4" s="16" t="n">
        <v>9</v>
      </c>
      <c r="X4" s="16" t="n">
        <v>10</v>
      </c>
      <c r="Y4" s="16" t="n">
        <v>11</v>
      </c>
      <c r="Z4" s="16" t="n">
        <v>12</v>
      </c>
    </row>
    <row r="5" customFormat="false" ht="15" hidden="false" customHeight="false" outlineLevel="0" collapsed="false">
      <c r="A5" s="5" t="s">
        <v>77</v>
      </c>
      <c r="B5" s="17" t="n">
        <f aca="false">Inputs!$B$5+7*B4</f>
        <v>46237</v>
      </c>
      <c r="C5" s="17" t="n">
        <f aca="false">Inputs!$B$5+7*C4</f>
        <v>46244</v>
      </c>
      <c r="D5" s="17" t="n">
        <f aca="false">Inputs!$B$5+7*D4</f>
        <v>46251</v>
      </c>
      <c r="E5" s="17" t="n">
        <f aca="false">Inputs!$B$5+7*E4</f>
        <v>46258</v>
      </c>
      <c r="F5" s="17" t="n">
        <f aca="false">Inputs!$B$5+7*F4</f>
        <v>46265</v>
      </c>
      <c r="G5" s="17" t="n">
        <f aca="false">Inputs!$B$5+7*G4</f>
        <v>46272</v>
      </c>
      <c r="H5" s="17" t="n">
        <f aca="false">Inputs!$B$5+7*H4</f>
        <v>46279</v>
      </c>
      <c r="I5" s="17" t="n">
        <f aca="false">Inputs!$B$5+7*I4</f>
        <v>46286</v>
      </c>
      <c r="J5" s="17" t="n">
        <f aca="false">Inputs!$B$5+7*J4</f>
        <v>46293</v>
      </c>
      <c r="K5" s="17" t="n">
        <f aca="false">Inputs!$B$5+7*K4</f>
        <v>46300</v>
      </c>
      <c r="L5" s="17" t="n">
        <f aca="false">Inputs!$B$5+7*L4</f>
        <v>46307</v>
      </c>
      <c r="M5" s="17" t="n">
        <f aca="false">Inputs!$B$5+7*M4</f>
        <v>46314</v>
      </c>
      <c r="N5" s="18" t="n">
        <f aca="false">Inputs!$B$5+7*N4</f>
        <v>46321</v>
      </c>
      <c r="O5" s="18" t="n">
        <f aca="false">Inputs!$B$5+7*O4</f>
        <v>46328</v>
      </c>
      <c r="P5" s="18" t="n">
        <f aca="false">Inputs!$B$5+7*P4</f>
        <v>46335</v>
      </c>
      <c r="Q5" s="18" t="n">
        <f aca="false">Inputs!$B$5+7*Q4</f>
        <v>46342</v>
      </c>
      <c r="R5" s="18" t="n">
        <f aca="false">Inputs!$B$5+7*R4</f>
        <v>46349</v>
      </c>
      <c r="S5" s="18" t="n">
        <f aca="false">Inputs!$B$5+7*S4</f>
        <v>46356</v>
      </c>
      <c r="T5" s="18" t="n">
        <f aca="false">Inputs!$B$5+7*T4</f>
        <v>46363</v>
      </c>
      <c r="U5" s="18" t="n">
        <f aca="false">Inputs!$B$5+7*U4</f>
        <v>46370</v>
      </c>
      <c r="V5" s="18" t="n">
        <f aca="false">Inputs!$B$5+7*V4</f>
        <v>46377</v>
      </c>
      <c r="W5" s="18" t="n">
        <f aca="false">Inputs!$B$5+7*W4</f>
        <v>46384</v>
      </c>
      <c r="X5" s="18" t="n">
        <f aca="false">Inputs!$B$5+7*X4</f>
        <v>46391</v>
      </c>
      <c r="Y5" s="18" t="n">
        <f aca="false">Inputs!$B$5+7*Y4</f>
        <v>46398</v>
      </c>
      <c r="Z5" s="18" t="n">
        <f aca="false">Inputs!$B$5+7*Z4</f>
        <v>46405</v>
      </c>
    </row>
    <row r="6" customFormat="false" ht="15" hidden="false" customHeight="false" outlineLevel="0" collapsed="false">
      <c r="A6" s="5" t="s">
        <v>78</v>
      </c>
      <c r="B6" s="19" t="n">
        <f aca="false">SUMIFS(Calendar!$D$2:$D$176,Calendar!$B$2:$B$176,B$4)/7/Inputs!$B$9</f>
        <v>0.931506849315068</v>
      </c>
      <c r="C6" s="19" t="n">
        <f aca="false">SUMIFS(Calendar!$D$2:$D$176,Calendar!$B$2:$B$176,C$4)/7/Inputs!$B$9</f>
        <v>0.931506849315068</v>
      </c>
      <c r="D6" s="19" t="n">
        <f aca="false">SUMIFS(Calendar!$D$2:$D$176,Calendar!$B$2:$B$176,D$4)/7/Inputs!$B$9</f>
        <v>0.931506849315068</v>
      </c>
      <c r="E6" s="19" t="n">
        <f aca="false">SUMIFS(Calendar!$D$2:$D$176,Calendar!$B$2:$B$176,E$4)/7/Inputs!$B$9</f>
        <v>0.931506849315068</v>
      </c>
      <c r="F6" s="19" t="n">
        <f aca="false">SUMIFS(Calendar!$D$2:$D$176,Calendar!$B$2:$B$176,F$4)/7/Inputs!$B$9</f>
        <v>0.978473581213307</v>
      </c>
      <c r="G6" s="19" t="n">
        <f aca="false">SUMIFS(Calendar!$D$2:$D$176,Calendar!$B$2:$B$176,G$4)/7/Inputs!$B$9</f>
        <v>0.986301369863014</v>
      </c>
      <c r="H6" s="19" t="n">
        <f aca="false">SUMIFS(Calendar!$D$2:$D$176,Calendar!$B$2:$B$176,H$4)/7/Inputs!$B$9</f>
        <v>0.986301369863014</v>
      </c>
      <c r="I6" s="19" t="n">
        <f aca="false">SUMIFS(Calendar!$D$2:$D$176,Calendar!$B$2:$B$176,I$4)/7/Inputs!$B$9</f>
        <v>0.986301369863014</v>
      </c>
      <c r="J6" s="19" t="n">
        <f aca="false">SUMIFS(Calendar!$D$2:$D$176,Calendar!$B$2:$B$176,J$4)/7/Inputs!$B$9</f>
        <v>1.04892367906067</v>
      </c>
      <c r="K6" s="19" t="n">
        <f aca="false">SUMIFS(Calendar!$D$2:$D$176,Calendar!$B$2:$B$176,K$4)/7/Inputs!$B$9</f>
        <v>1.0958904109589</v>
      </c>
      <c r="L6" s="19" t="n">
        <f aca="false">SUMIFS(Calendar!$D$2:$D$176,Calendar!$B$2:$B$176,L$4)/7/Inputs!$B$9</f>
        <v>1.0958904109589</v>
      </c>
      <c r="M6" s="19" t="n">
        <f aca="false">SUMIFS(Calendar!$D$2:$D$176,Calendar!$B$2:$B$176,M$4)/7/Inputs!$B$9</f>
        <v>1.0958904109589</v>
      </c>
      <c r="N6" s="20" t="n">
        <f aca="false">SUMIFS(Calendar!$D$2:$D$176,Calendar!$B$2:$B$176,N$4)/7/Inputs!$B$9</f>
        <v>1.19663064749426</v>
      </c>
      <c r="O6" s="20" t="n">
        <f aca="false">SUMIFS(Calendar!$D$2:$D$176,Calendar!$B$2:$B$176,O$4)/7/Inputs!$B$9</f>
        <v>1.80107206670637</v>
      </c>
      <c r="P6" s="20" t="n">
        <f aca="false">SUMIFS(Calendar!$D$2:$D$176,Calendar!$B$2:$B$176,P$4)/7/Inputs!$B$9</f>
        <v>1.80107206670637</v>
      </c>
      <c r="Q6" s="20" t="n">
        <f aca="false">SUMIFS(Calendar!$D$2:$D$176,Calendar!$B$2:$B$176,Q$4)/7/Inputs!$B$9</f>
        <v>1.80107206670637</v>
      </c>
      <c r="R6" s="20" t="n">
        <f aca="false">SUMIFS(Calendar!$D$2:$D$176,Calendar!$B$2:$B$176,R$4)/7/Inputs!$B$9</f>
        <v>3.94520547945206</v>
      </c>
      <c r="S6" s="20" t="n">
        <f aca="false">SUMIFS(Calendar!$D$2:$D$176,Calendar!$B$2:$B$176,S$4)/7/Inputs!$B$9</f>
        <v>1.76023143027312</v>
      </c>
      <c r="T6" s="20" t="n">
        <f aca="false">SUMIFS(Calendar!$D$2:$D$176,Calendar!$B$2:$B$176,T$4)/7/Inputs!$B$9</f>
        <v>1.75342465753425</v>
      </c>
      <c r="U6" s="20" t="n">
        <f aca="false">SUMIFS(Calendar!$D$2:$D$176,Calendar!$B$2:$B$176,U$4)/7/Inputs!$B$9</f>
        <v>1.75342465753425</v>
      </c>
      <c r="V6" s="20" t="n">
        <f aca="false">SUMIFS(Calendar!$D$2:$D$176,Calendar!$B$2:$B$176,V$4)/7/Inputs!$B$9</f>
        <v>1.75342465753425</v>
      </c>
      <c r="W6" s="20" t="n">
        <f aca="false">SUMIFS(Calendar!$D$2:$D$176,Calendar!$B$2:$B$176,W$4)/7/Inputs!$B$9</f>
        <v>1.3307240704501</v>
      </c>
      <c r="X6" s="20" t="n">
        <f aca="false">SUMIFS(Calendar!$D$2:$D$176,Calendar!$B$2:$B$176,X$4)/7/Inputs!$B$9</f>
        <v>0.767123287671233</v>
      </c>
      <c r="Y6" s="20" t="n">
        <f aca="false">SUMIFS(Calendar!$D$2:$D$176,Calendar!$B$2:$B$176,Y$4)/7/Inputs!$B$9</f>
        <v>0.767123287671233</v>
      </c>
      <c r="Z6" s="20" t="n">
        <f aca="false">SUMIFS(Calendar!$D$2:$D$176,Calendar!$B$2:$B$176,Z$4)/7/Inputs!$B$9</f>
        <v>0.767123287671233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79</v>
      </c>
      <c r="B8" s="21" t="n">
        <f aca="false">Inputs!$B$6*B6</f>
        <v>106733.104951728</v>
      </c>
      <c r="C8" s="21" t="n">
        <f aca="false">Inputs!$B$6*C6</f>
        <v>106733.104951728</v>
      </c>
      <c r="D8" s="21" t="n">
        <f aca="false">Inputs!$B$6*D6</f>
        <v>106733.104951728</v>
      </c>
      <c r="E8" s="21" t="n">
        <f aca="false">Inputs!$B$6*E6</f>
        <v>106733.104951728</v>
      </c>
      <c r="F8" s="21" t="n">
        <f aca="false">Inputs!$B$6*F6</f>
        <v>112114.606041732</v>
      </c>
      <c r="G8" s="21" t="n">
        <f aca="false">Inputs!$B$6*G6</f>
        <v>113011.522890065</v>
      </c>
      <c r="H8" s="21" t="n">
        <f aca="false">Inputs!$B$6*H6</f>
        <v>113011.522890065</v>
      </c>
      <c r="I8" s="21" t="n">
        <f aca="false">Inputs!$B$6*I6</f>
        <v>113011.522890065</v>
      </c>
      <c r="J8" s="21" t="n">
        <f aca="false">Inputs!$B$6*J6</f>
        <v>120186.857676736</v>
      </c>
      <c r="K8" s="21" t="n">
        <f aca="false">Inputs!$B$6*K6</f>
        <v>125568.358766739</v>
      </c>
      <c r="L8" s="21" t="n">
        <f aca="false">Inputs!$B$6*L6</f>
        <v>125568.358766739</v>
      </c>
      <c r="M8" s="21" t="n">
        <f aca="false">Inputs!$B$6*M6</f>
        <v>125568.358766739</v>
      </c>
      <c r="N8" s="11" t="n">
        <f aca="false">Inputs!$B$6*N6</f>
        <v>137111.288640949</v>
      </c>
      <c r="O8" s="11" t="n">
        <f aca="false">Inputs!$B$6*O6</f>
        <v>206368.867886206</v>
      </c>
      <c r="P8" s="11" t="n">
        <f aca="false">Inputs!$B$6*P6</f>
        <v>206368.867886206</v>
      </c>
      <c r="Q8" s="11" t="n">
        <f aca="false">Inputs!$B$6*Q6</f>
        <v>206368.867886206</v>
      </c>
      <c r="R8" s="11" t="n">
        <f aca="false">Inputs!$B$6*R6</f>
        <v>452046.091560262</v>
      </c>
      <c r="S8" s="11" t="n">
        <f aca="false">Inputs!$B$6*S6</f>
        <v>201689.301720986</v>
      </c>
      <c r="T8" s="11" t="n">
        <f aca="false">Inputs!$B$6*T6</f>
        <v>200909.374026783</v>
      </c>
      <c r="U8" s="11" t="n">
        <f aca="false">Inputs!$B$6*U6</f>
        <v>200909.374026783</v>
      </c>
      <c r="V8" s="11" t="n">
        <f aca="false">Inputs!$B$6*V6</f>
        <v>200909.374026783</v>
      </c>
      <c r="W8" s="11" t="n">
        <f aca="false">Inputs!$B$6*W6</f>
        <v>152475.864216755</v>
      </c>
      <c r="X8" s="11" t="n">
        <f aca="false">Inputs!$B$6*X6</f>
        <v>87897.8511367175</v>
      </c>
      <c r="Y8" s="11" t="n">
        <f aca="false">Inputs!$B$6*Y6</f>
        <v>87897.8511367175</v>
      </c>
      <c r="Z8" s="11" t="n">
        <f aca="false">Inputs!$B$6*Z6</f>
        <v>87897.8511367175</v>
      </c>
    </row>
    <row r="9" customFormat="false" ht="15" hidden="false" customHeight="false" outlineLevel="0" collapsed="false">
      <c r="A9" s="5" t="s">
        <v>15</v>
      </c>
      <c r="B9" s="22" t="n">
        <f aca="false">IF(MONTH(B5)=1,Inputs!$B$11,Inputs!$B$10)</f>
        <v>0.06</v>
      </c>
      <c r="C9" s="22" t="n">
        <f aca="false">IF(MONTH(C5)=1,Inputs!$B$11,Inputs!$B$10)</f>
        <v>0.06</v>
      </c>
      <c r="D9" s="22" t="n">
        <f aca="false">IF(MONTH(D5)=1,Inputs!$B$11,Inputs!$B$10)</f>
        <v>0.06</v>
      </c>
      <c r="E9" s="22" t="n">
        <f aca="false">IF(MONTH(E5)=1,Inputs!$B$11,Inputs!$B$10)</f>
        <v>0.06</v>
      </c>
      <c r="F9" s="22" t="n">
        <f aca="false">IF(MONTH(F5)=1,Inputs!$B$11,Inputs!$B$10)</f>
        <v>0.06</v>
      </c>
      <c r="G9" s="22" t="n">
        <f aca="false">IF(MONTH(G5)=1,Inputs!$B$11,Inputs!$B$10)</f>
        <v>0.06</v>
      </c>
      <c r="H9" s="22" t="n">
        <f aca="false">IF(MONTH(H5)=1,Inputs!$B$11,Inputs!$B$10)</f>
        <v>0.06</v>
      </c>
      <c r="I9" s="22" t="n">
        <f aca="false">IF(MONTH(I5)=1,Inputs!$B$11,Inputs!$B$10)</f>
        <v>0.06</v>
      </c>
      <c r="J9" s="22" t="n">
        <f aca="false">IF(MONTH(J5)=1,Inputs!$B$11,Inputs!$B$10)</f>
        <v>0.06</v>
      </c>
      <c r="K9" s="22" t="n">
        <f aca="false">IF(MONTH(K5)=1,Inputs!$B$11,Inputs!$B$10)</f>
        <v>0.06</v>
      </c>
      <c r="L9" s="22" t="n">
        <f aca="false">IF(MONTH(L5)=1,Inputs!$B$11,Inputs!$B$10)</f>
        <v>0.06</v>
      </c>
      <c r="M9" s="22" t="n">
        <f aca="false">IF(MONTH(M5)=1,Inputs!$B$11,Inputs!$B$10)</f>
        <v>0.06</v>
      </c>
      <c r="N9" s="23" t="n">
        <f aca="false">IF(MONTH(N5)=1,Inputs!$B$11,Inputs!$B$10)</f>
        <v>0.06</v>
      </c>
      <c r="O9" s="23" t="n">
        <f aca="false">IF(MONTH(O5)=1,Inputs!$B$11,Inputs!$B$10)</f>
        <v>0.06</v>
      </c>
      <c r="P9" s="23" t="n">
        <f aca="false">IF(MONTH(P5)=1,Inputs!$B$11,Inputs!$B$10)</f>
        <v>0.06</v>
      </c>
      <c r="Q9" s="23" t="n">
        <f aca="false">IF(MONTH(Q5)=1,Inputs!$B$11,Inputs!$B$10)</f>
        <v>0.06</v>
      </c>
      <c r="R9" s="23" t="n">
        <f aca="false">IF(MONTH(R5)=1,Inputs!$B$11,Inputs!$B$10)</f>
        <v>0.06</v>
      </c>
      <c r="S9" s="23" t="n">
        <f aca="false">IF(MONTH(S5)=1,Inputs!$B$11,Inputs!$B$10)</f>
        <v>0.06</v>
      </c>
      <c r="T9" s="23" t="n">
        <f aca="false">IF(MONTH(T5)=1,Inputs!$B$11,Inputs!$B$10)</f>
        <v>0.06</v>
      </c>
      <c r="U9" s="23" t="n">
        <f aca="false">IF(MONTH(U5)=1,Inputs!$B$11,Inputs!$B$10)</f>
        <v>0.06</v>
      </c>
      <c r="V9" s="23" t="n">
        <f aca="false">IF(MONTH(V5)=1,Inputs!$B$11,Inputs!$B$10)</f>
        <v>0.06</v>
      </c>
      <c r="W9" s="23" t="n">
        <f aca="false">IF(MONTH(W5)=1,Inputs!$B$11,Inputs!$B$10)</f>
        <v>0.06</v>
      </c>
      <c r="X9" s="23" t="n">
        <f aca="false">IF(MONTH(X5)=1,Inputs!$B$11,Inputs!$B$10)</f>
        <v>0.09</v>
      </c>
      <c r="Y9" s="23" t="n">
        <f aca="false">IF(MONTH(Y5)=1,Inputs!$B$11,Inputs!$B$10)</f>
        <v>0.09</v>
      </c>
      <c r="Z9" s="23" t="n">
        <f aca="false">IF(MONTH(Z5)=1,Inputs!$B$11,Inputs!$B$10)</f>
        <v>0.09</v>
      </c>
    </row>
    <row r="10" customFormat="false" ht="15" hidden="false" customHeight="false" outlineLevel="0" collapsed="false">
      <c r="A10" s="5" t="s">
        <v>80</v>
      </c>
      <c r="B10" s="21" t="n">
        <f aca="false">B8*B9</f>
        <v>6403.9862971037</v>
      </c>
      <c r="C10" s="21" t="n">
        <f aca="false">C8*C9</f>
        <v>6403.9862971037</v>
      </c>
      <c r="D10" s="21" t="n">
        <f aca="false">D8*D9</f>
        <v>6403.9862971037</v>
      </c>
      <c r="E10" s="21" t="n">
        <f aca="false">E8*E9</f>
        <v>6403.9862971037</v>
      </c>
      <c r="F10" s="21" t="n">
        <f aca="false">F8*F9</f>
        <v>6726.87636250389</v>
      </c>
      <c r="G10" s="21" t="n">
        <f aca="false">G8*G9</f>
        <v>6780.69137340392</v>
      </c>
      <c r="H10" s="21" t="n">
        <f aca="false">H8*H9</f>
        <v>6780.69137340392</v>
      </c>
      <c r="I10" s="21" t="n">
        <f aca="false">I8*I9</f>
        <v>6780.69137340392</v>
      </c>
      <c r="J10" s="21" t="n">
        <f aca="false">J8*J9</f>
        <v>7211.21146060417</v>
      </c>
      <c r="K10" s="21" t="n">
        <f aca="false">K8*K9</f>
        <v>7534.10152600436</v>
      </c>
      <c r="L10" s="21" t="n">
        <f aca="false">L8*L9</f>
        <v>7534.10152600436</v>
      </c>
      <c r="M10" s="21" t="n">
        <f aca="false">M8*M9</f>
        <v>7534.10152600436</v>
      </c>
      <c r="N10" s="11" t="n">
        <f aca="false">N8*N9</f>
        <v>8226.67731845693</v>
      </c>
      <c r="O10" s="11" t="n">
        <f aca="false">O8*O9</f>
        <v>12382.1320731724</v>
      </c>
      <c r="P10" s="11" t="n">
        <f aca="false">P8*P9</f>
        <v>12382.1320731724</v>
      </c>
      <c r="Q10" s="11" t="n">
        <f aca="false">Q8*Q9</f>
        <v>12382.1320731724</v>
      </c>
      <c r="R10" s="11" t="n">
        <f aca="false">R8*R9</f>
        <v>27122.7654936157</v>
      </c>
      <c r="S10" s="11" t="n">
        <f aca="false">S8*S9</f>
        <v>12101.3581032592</v>
      </c>
      <c r="T10" s="11" t="n">
        <f aca="false">T8*T9</f>
        <v>12054.562441607</v>
      </c>
      <c r="U10" s="11" t="n">
        <f aca="false">U8*U9</f>
        <v>12054.562441607</v>
      </c>
      <c r="V10" s="11" t="n">
        <f aca="false">V8*V9</f>
        <v>12054.562441607</v>
      </c>
      <c r="W10" s="11" t="n">
        <f aca="false">W8*W9</f>
        <v>9148.55185300529</v>
      </c>
      <c r="X10" s="11" t="n">
        <f aca="false">X8*X9</f>
        <v>7910.80660230457</v>
      </c>
      <c r="Y10" s="11" t="n">
        <f aca="false">Y8*Y9</f>
        <v>7910.80660230457</v>
      </c>
      <c r="Z10" s="11" t="n">
        <f aca="false">Z8*Z9</f>
        <v>7910.80660230457</v>
      </c>
    </row>
    <row r="11" customFormat="false" ht="15" hidden="false" customHeight="false" outlineLevel="0" collapsed="false">
      <c r="A11" s="5" t="s">
        <v>81</v>
      </c>
      <c r="B11" s="21" t="n">
        <f aca="false">B8*Inputs!$B$12</f>
        <v>3201.99314855185</v>
      </c>
      <c r="C11" s="21" t="n">
        <f aca="false">C8*Inputs!$B$12</f>
        <v>3201.99314855185</v>
      </c>
      <c r="D11" s="21" t="n">
        <f aca="false">D8*Inputs!$B$12</f>
        <v>3201.99314855185</v>
      </c>
      <c r="E11" s="21" t="n">
        <f aca="false">E8*Inputs!$B$12</f>
        <v>3201.99314855185</v>
      </c>
      <c r="F11" s="21" t="n">
        <f aca="false">F8*Inputs!$B$12</f>
        <v>3363.43818125195</v>
      </c>
      <c r="G11" s="21" t="n">
        <f aca="false">G8*Inputs!$B$12</f>
        <v>3390.34568670196</v>
      </c>
      <c r="H11" s="21" t="n">
        <f aca="false">H8*Inputs!$B$12</f>
        <v>3390.34568670196</v>
      </c>
      <c r="I11" s="21" t="n">
        <f aca="false">I8*Inputs!$B$12</f>
        <v>3390.34568670196</v>
      </c>
      <c r="J11" s="21" t="n">
        <f aca="false">J8*Inputs!$B$12</f>
        <v>3605.60573030209</v>
      </c>
      <c r="K11" s="21" t="n">
        <f aca="false">K8*Inputs!$B$12</f>
        <v>3767.05076300218</v>
      </c>
      <c r="L11" s="21" t="n">
        <f aca="false">L8*Inputs!$B$12</f>
        <v>3767.05076300218</v>
      </c>
      <c r="M11" s="21" t="n">
        <f aca="false">M8*Inputs!$B$12</f>
        <v>3767.05076300218</v>
      </c>
      <c r="N11" s="11" t="n">
        <f aca="false">N8*Inputs!$B$12</f>
        <v>4113.33865922847</v>
      </c>
      <c r="O11" s="11" t="n">
        <f aca="false">O8*Inputs!$B$12</f>
        <v>6191.06603658619</v>
      </c>
      <c r="P11" s="11" t="n">
        <f aca="false">P8*Inputs!$B$12</f>
        <v>6191.06603658619</v>
      </c>
      <c r="Q11" s="11" t="n">
        <f aca="false">Q8*Inputs!$B$12</f>
        <v>6191.06603658619</v>
      </c>
      <c r="R11" s="11" t="n">
        <f aca="false">R8*Inputs!$B$12</f>
        <v>13561.3827468078</v>
      </c>
      <c r="S11" s="11" t="n">
        <f aca="false">S8*Inputs!$B$12</f>
        <v>6050.67905162959</v>
      </c>
      <c r="T11" s="11" t="n">
        <f aca="false">T8*Inputs!$B$12</f>
        <v>6027.28122080349</v>
      </c>
      <c r="U11" s="11" t="n">
        <f aca="false">U8*Inputs!$B$12</f>
        <v>6027.28122080349</v>
      </c>
      <c r="V11" s="11" t="n">
        <f aca="false">V8*Inputs!$B$12</f>
        <v>6027.28122080349</v>
      </c>
      <c r="W11" s="11" t="n">
        <f aca="false">W8*Inputs!$B$12</f>
        <v>4574.27592650265</v>
      </c>
      <c r="X11" s="11" t="n">
        <f aca="false">X8*Inputs!$B$12</f>
        <v>2636.93553410153</v>
      </c>
      <c r="Y11" s="11" t="n">
        <f aca="false">Y8*Inputs!$B$12</f>
        <v>2636.93553410153</v>
      </c>
      <c r="Z11" s="11" t="n">
        <f aca="false">Z8*Inputs!$B$12</f>
        <v>2636.93553410153</v>
      </c>
    </row>
    <row r="12" customFormat="false" ht="15" hidden="false" customHeight="false" outlineLevel="0" collapsed="false">
      <c r="A12" s="5" t="s">
        <v>21</v>
      </c>
      <c r="B12" s="21" t="n">
        <f aca="false">B8*Inputs!$B$13</f>
        <v>213.466209903457</v>
      </c>
      <c r="C12" s="21" t="n">
        <f aca="false">C8*Inputs!$B$13</f>
        <v>213.466209903457</v>
      </c>
      <c r="D12" s="21" t="n">
        <f aca="false">D8*Inputs!$B$13</f>
        <v>213.466209903457</v>
      </c>
      <c r="E12" s="21" t="n">
        <f aca="false">E8*Inputs!$B$13</f>
        <v>213.466209903457</v>
      </c>
      <c r="F12" s="21" t="n">
        <f aca="false">F8*Inputs!$B$13</f>
        <v>224.229212083463</v>
      </c>
      <c r="G12" s="21" t="n">
        <f aca="false">G8*Inputs!$B$13</f>
        <v>226.023045780131</v>
      </c>
      <c r="H12" s="21" t="n">
        <f aca="false">H8*Inputs!$B$13</f>
        <v>226.023045780131</v>
      </c>
      <c r="I12" s="21" t="n">
        <f aca="false">I8*Inputs!$B$13</f>
        <v>226.023045780131</v>
      </c>
      <c r="J12" s="21" t="n">
        <f aca="false">J8*Inputs!$B$13</f>
        <v>240.373715353472</v>
      </c>
      <c r="K12" s="21" t="n">
        <f aca="false">K8*Inputs!$B$13</f>
        <v>251.136717533479</v>
      </c>
      <c r="L12" s="21" t="n">
        <f aca="false">L8*Inputs!$B$13</f>
        <v>251.136717533479</v>
      </c>
      <c r="M12" s="21" t="n">
        <f aca="false">M8*Inputs!$B$13</f>
        <v>251.136717533479</v>
      </c>
      <c r="N12" s="11" t="n">
        <f aca="false">N8*Inputs!$B$13</f>
        <v>274.222577281898</v>
      </c>
      <c r="O12" s="11" t="n">
        <f aca="false">O8*Inputs!$B$13</f>
        <v>412.737735772413</v>
      </c>
      <c r="P12" s="11" t="n">
        <f aca="false">P8*Inputs!$B$13</f>
        <v>412.737735772413</v>
      </c>
      <c r="Q12" s="11" t="n">
        <f aca="false">Q8*Inputs!$B$13</f>
        <v>412.737735772413</v>
      </c>
      <c r="R12" s="11" t="n">
        <f aca="false">R8*Inputs!$B$13</f>
        <v>904.092183120523</v>
      </c>
      <c r="S12" s="11" t="n">
        <f aca="false">S8*Inputs!$B$13</f>
        <v>403.378603441972</v>
      </c>
      <c r="T12" s="11" t="n">
        <f aca="false">T8*Inputs!$B$13</f>
        <v>401.818748053566</v>
      </c>
      <c r="U12" s="11" t="n">
        <f aca="false">U8*Inputs!$B$13</f>
        <v>401.818748053566</v>
      </c>
      <c r="V12" s="11" t="n">
        <f aca="false">V8*Inputs!$B$13</f>
        <v>401.818748053566</v>
      </c>
      <c r="W12" s="11" t="n">
        <f aca="false">W8*Inputs!$B$13</f>
        <v>304.95172843351</v>
      </c>
      <c r="X12" s="11" t="n">
        <f aca="false">X8*Inputs!$B$13</f>
        <v>175.795702273435</v>
      </c>
      <c r="Y12" s="11" t="n">
        <f aca="false">Y8*Inputs!$B$13</f>
        <v>175.795702273435</v>
      </c>
      <c r="Z12" s="11" t="n">
        <f aca="false">Z8*Inputs!$B$13</f>
        <v>175.795702273435</v>
      </c>
    </row>
    <row r="13" customFormat="false" ht="15" hidden="false" customHeight="false" outlineLevel="0" collapsed="false">
      <c r="A13" s="5" t="s">
        <v>82</v>
      </c>
      <c r="B13" s="21" t="n">
        <f aca="false">B8-B10-B11-B12</f>
        <v>96913.6592961694</v>
      </c>
      <c r="C13" s="21" t="n">
        <f aca="false">C8-C10-C11-C12</f>
        <v>96913.6592961694</v>
      </c>
      <c r="D13" s="21" t="n">
        <f aca="false">D8-D10-D11-D12</f>
        <v>96913.6592961694</v>
      </c>
      <c r="E13" s="21" t="n">
        <f aca="false">E8-E10-E11-E12</f>
        <v>96913.6592961694</v>
      </c>
      <c r="F13" s="21" t="n">
        <f aca="false">F8-F10-F11-F12</f>
        <v>101800.062285892</v>
      </c>
      <c r="G13" s="21" t="n">
        <f aca="false">G8-G10-G11-G12</f>
        <v>102614.462784179</v>
      </c>
      <c r="H13" s="21" t="n">
        <f aca="false">H8-H10-H11-H12</f>
        <v>102614.462784179</v>
      </c>
      <c r="I13" s="21" t="n">
        <f aca="false">I8-I10-I11-I12</f>
        <v>102614.462784179</v>
      </c>
      <c r="J13" s="21" t="n">
        <f aca="false">J8-J10-J11-J12</f>
        <v>109129.666770476</v>
      </c>
      <c r="K13" s="21" t="n">
        <f aca="false">K8-K10-K11-K12</f>
        <v>114016.069760199</v>
      </c>
      <c r="L13" s="21" t="n">
        <f aca="false">L8-L10-L11-L12</f>
        <v>114016.069760199</v>
      </c>
      <c r="M13" s="21" t="n">
        <f aca="false">M8-M10-M11-M12</f>
        <v>114016.069760199</v>
      </c>
      <c r="N13" s="11" t="n">
        <f aca="false">N8-N10-N11-N12</f>
        <v>124497.050085982</v>
      </c>
      <c r="O13" s="11" t="n">
        <f aca="false">O8-O10-O11-O12</f>
        <v>187382.932040675</v>
      </c>
      <c r="P13" s="11" t="n">
        <f aca="false">P8-P10-P11-P12</f>
        <v>187382.932040675</v>
      </c>
      <c r="Q13" s="11" t="n">
        <f aca="false">Q8-Q10-Q11-Q12</f>
        <v>187382.932040675</v>
      </c>
      <c r="R13" s="11" t="n">
        <f aca="false">R8-R10-R11-R12</f>
        <v>410457.851136717</v>
      </c>
      <c r="S13" s="11" t="n">
        <f aca="false">S8-S10-S11-S12</f>
        <v>183133.885962655</v>
      </c>
      <c r="T13" s="11" t="n">
        <f aca="false">T8-T10-T11-T12</f>
        <v>182425.711616319</v>
      </c>
      <c r="U13" s="11" t="n">
        <f aca="false">U8-U10-U11-U12</f>
        <v>182425.711616319</v>
      </c>
      <c r="V13" s="11" t="n">
        <f aca="false">V8-V10-V11-V12</f>
        <v>182425.711616319</v>
      </c>
      <c r="W13" s="11" t="n">
        <f aca="false">W8-W10-W11-W12</f>
        <v>138448.084708813</v>
      </c>
      <c r="X13" s="11" t="n">
        <f aca="false">X8-X10-X11-X12</f>
        <v>77174.313298038</v>
      </c>
      <c r="Y13" s="11" t="n">
        <f aca="false">Y8-Y10-Y11-Y12</f>
        <v>77174.313298038</v>
      </c>
      <c r="Z13" s="11" t="n">
        <f aca="false">Z8-Z10-Z11-Z12</f>
        <v>77174.313298038</v>
      </c>
    </row>
    <row r="14" customFormat="false" ht="15" hidden="false" customHeight="false" outlineLevel="0" collapsed="false">
      <c r="A14" s="13" t="s">
        <v>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1" t="n">
        <f aca="false">(1-Inputs!$B$14)*N13+Inputs!$B$14*M13</f>
        <v>121502.634006906</v>
      </c>
      <c r="O14" s="11" t="n">
        <f aca="false">(1-Inputs!$B$14)*O13+Inputs!$B$14*N13</f>
        <v>169416.435566219</v>
      </c>
      <c r="P14" s="11" t="n">
        <f aca="false">(1-Inputs!$B$14)*P13+Inputs!$B$14*O13</f>
        <v>187382.932040675</v>
      </c>
      <c r="Q14" s="11" t="n">
        <f aca="false">(1-Inputs!$B$14)*Q13+Inputs!$B$14*P13</f>
        <v>187382.932040675</v>
      </c>
      <c r="R14" s="11" t="n">
        <f aca="false">(1-Inputs!$B$14)*R13+Inputs!$B$14*Q13</f>
        <v>346725.346750978</v>
      </c>
      <c r="S14" s="11" t="n">
        <f aca="false">(1-Inputs!$B$14)*S13+Inputs!$B$14*R13</f>
        <v>248080.342812885</v>
      </c>
      <c r="T14" s="11" t="n">
        <f aca="false">(1-Inputs!$B$14)*T13+Inputs!$B$14*S13</f>
        <v>182628.037027067</v>
      </c>
      <c r="U14" s="11" t="n">
        <f aca="false">(1-Inputs!$B$14)*U13+Inputs!$B$14*T13</f>
        <v>182425.711616319</v>
      </c>
      <c r="V14" s="11" t="n">
        <f aca="false">(1-Inputs!$B$14)*V13+Inputs!$B$14*U13</f>
        <v>182425.711616319</v>
      </c>
      <c r="W14" s="11" t="n">
        <f aca="false">(1-Inputs!$B$14)*W13+Inputs!$B$14*V13</f>
        <v>151012.492716288</v>
      </c>
      <c r="X14" s="11" t="n">
        <f aca="false">(1-Inputs!$B$14)*X13+Inputs!$B$14*W13</f>
        <v>94680.2297900965</v>
      </c>
      <c r="Y14" s="11" t="n">
        <f aca="false">(1-Inputs!$B$14)*Y13+Inputs!$B$14*X13</f>
        <v>77174.313298038</v>
      </c>
      <c r="Z14" s="11" t="n">
        <f aca="false">(1-Inputs!$B$14)*Z13+Inputs!$B$14*Y13</f>
        <v>77174.313298038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5" t="s">
        <v>84</v>
      </c>
      <c r="B16" s="21" t="n">
        <f aca="false">Inputs!$B$7*B6</f>
        <v>10673.3104951728</v>
      </c>
      <c r="C16" s="21" t="n">
        <f aca="false">Inputs!$B$7*C6</f>
        <v>10673.3104951728</v>
      </c>
      <c r="D16" s="21" t="n">
        <f aca="false">Inputs!$B$7*D6</f>
        <v>10673.3104951728</v>
      </c>
      <c r="E16" s="21" t="n">
        <f aca="false">Inputs!$B$7*E6</f>
        <v>10673.3104951728</v>
      </c>
      <c r="F16" s="21" t="n">
        <f aca="false">Inputs!$B$7*F6</f>
        <v>11211.4606041732</v>
      </c>
      <c r="G16" s="21" t="n">
        <f aca="false">Inputs!$B$7*G6</f>
        <v>11301.1522890065</v>
      </c>
      <c r="H16" s="21" t="n">
        <f aca="false">Inputs!$B$7*H6</f>
        <v>11301.1522890065</v>
      </c>
      <c r="I16" s="21" t="n">
        <f aca="false">Inputs!$B$7*I6</f>
        <v>11301.1522890065</v>
      </c>
      <c r="J16" s="21" t="n">
        <f aca="false">Inputs!$B$7*J6</f>
        <v>12018.6857676736</v>
      </c>
      <c r="K16" s="21" t="n">
        <f aca="false">Inputs!$B$7*K6</f>
        <v>12556.8358766739</v>
      </c>
      <c r="L16" s="21" t="n">
        <f aca="false">Inputs!$B$7*L6</f>
        <v>12556.8358766739</v>
      </c>
      <c r="M16" s="21" t="n">
        <f aca="false">Inputs!$B$7*M6</f>
        <v>12556.8358766739</v>
      </c>
      <c r="N16" s="11" t="n">
        <f aca="false">Inputs!$B$7*N6</f>
        <v>13711.1288640949</v>
      </c>
      <c r="O16" s="11" t="n">
        <f aca="false">Inputs!$B$7*O6</f>
        <v>20636.8867886206</v>
      </c>
      <c r="P16" s="11" t="n">
        <f aca="false">Inputs!$B$7*P6</f>
        <v>20636.8867886206</v>
      </c>
      <c r="Q16" s="11" t="n">
        <f aca="false">Inputs!$B$7*Q6</f>
        <v>20636.8867886206</v>
      </c>
      <c r="R16" s="11" t="n">
        <f aca="false">Inputs!$B$7*R6</f>
        <v>45204.6091560262</v>
      </c>
      <c r="S16" s="11" t="n">
        <f aca="false">Inputs!$B$7*S6</f>
        <v>20168.9301720986</v>
      </c>
      <c r="T16" s="11" t="n">
        <f aca="false">Inputs!$B$7*T6</f>
        <v>20090.9374026783</v>
      </c>
      <c r="U16" s="11" t="n">
        <f aca="false">Inputs!$B$7*U6</f>
        <v>20090.9374026783</v>
      </c>
      <c r="V16" s="11" t="n">
        <f aca="false">Inputs!$B$7*V6</f>
        <v>20090.9374026783</v>
      </c>
      <c r="W16" s="11" t="n">
        <f aca="false">Inputs!$B$7*W6</f>
        <v>15247.5864216755</v>
      </c>
      <c r="X16" s="11" t="n">
        <f aca="false">Inputs!$B$7*X6</f>
        <v>8789.78511367175</v>
      </c>
      <c r="Y16" s="11" t="n">
        <f aca="false">Inputs!$B$7*Y6</f>
        <v>8789.78511367175</v>
      </c>
      <c r="Z16" s="11" t="n">
        <f aca="false">Inputs!$B$7*Z6</f>
        <v>8789.78511367175</v>
      </c>
    </row>
    <row r="17" customFormat="false" ht="15" hidden="false" customHeight="false" outlineLevel="0" collapsed="false">
      <c r="A17" s="13" t="s">
        <v>85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1" t="n">
        <f aca="false">IF(MOD(N$4,2)=0,(L16+M16)*(1-Inputs!$B$15),0)</f>
        <v>17579.5702273435</v>
      </c>
      <c r="O17" s="11" t="n">
        <f aca="false">IF(MOD(O$4,2)=0,(M16+N16)*(1-Inputs!$B$15),0)</f>
        <v>0</v>
      </c>
      <c r="P17" s="11" t="n">
        <f aca="false">IF(MOD(P$4,2)=0,(N16+O16)*(1-Inputs!$B$15),0)</f>
        <v>24043.6109569009</v>
      </c>
      <c r="Q17" s="11" t="n">
        <f aca="false">IF(MOD(Q$4,2)=0,(O16+P16)*(1-Inputs!$B$15),0)</f>
        <v>0</v>
      </c>
      <c r="R17" s="11" t="n">
        <f aca="false">IF(MOD(R$4,2)=0,(P16+Q16)*(1-Inputs!$B$15),0)</f>
        <v>28891.6415040689</v>
      </c>
      <c r="S17" s="11" t="n">
        <f aca="false">IF(MOD(S$4,2)=0,(Q16+R16)*(1-Inputs!$B$15),0)</f>
        <v>0</v>
      </c>
      <c r="T17" s="11" t="n">
        <f aca="false">IF(MOD(T$4,2)=0,(R16+S16)*(1-Inputs!$B$15),0)</f>
        <v>45761.4775296873</v>
      </c>
      <c r="U17" s="11" t="n">
        <f aca="false">IF(MOD(U$4,2)=0,(S16+T16)*(1-Inputs!$B$15),0)</f>
        <v>0</v>
      </c>
      <c r="V17" s="11" t="n">
        <f aca="false">IF(MOD(V$4,2)=0,(T16+U16)*(1-Inputs!$B$15),0)</f>
        <v>28127.3123637496</v>
      </c>
      <c r="W17" s="11" t="n">
        <f aca="false">IF(MOD(W$4,2)=0,(U16+V16)*(1-Inputs!$B$15),0)</f>
        <v>0</v>
      </c>
      <c r="X17" s="11" t="n">
        <f aca="false">IF(MOD(X$4,2)=0,(V16+W16)*(1-Inputs!$B$15),0)</f>
        <v>24736.9666770476</v>
      </c>
      <c r="Y17" s="11" t="n">
        <f aca="false">IF(MOD(Y$4,2)=0,(W16+X16)*(1-Inputs!$B$15),0)</f>
        <v>0</v>
      </c>
      <c r="Z17" s="11" t="n">
        <f aca="false">IF(MOD(Z$4,2)=0,(X16+Y16)*(1-Inputs!$B$15),0)</f>
        <v>12305.6991591405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5" t="s">
        <v>86</v>
      </c>
      <c r="B19" s="21" t="n">
        <f aca="false">Inputs!$B$8*Inputs!$B$16*B6</f>
        <v>9605.97944565556</v>
      </c>
      <c r="C19" s="21" t="n">
        <f aca="false">Inputs!$B$8*Inputs!$B$16*C6</f>
        <v>9605.97944565556</v>
      </c>
      <c r="D19" s="21" t="n">
        <f aca="false">Inputs!$B$8*Inputs!$B$16*D6</f>
        <v>9605.97944565556</v>
      </c>
      <c r="E19" s="21" t="n">
        <f aca="false">Inputs!$B$8*Inputs!$B$16*E6</f>
        <v>9605.97944565556</v>
      </c>
      <c r="F19" s="21" t="n">
        <f aca="false">Inputs!$B$8*Inputs!$B$16*F6</f>
        <v>10090.3145437558</v>
      </c>
      <c r="G19" s="21" t="n">
        <f aca="false">Inputs!$B$8*Inputs!$B$16*G6</f>
        <v>10171.0370601059</v>
      </c>
      <c r="H19" s="21" t="n">
        <f aca="false">Inputs!$B$8*Inputs!$B$16*H6</f>
        <v>10171.0370601059</v>
      </c>
      <c r="I19" s="21" t="n">
        <f aca="false">Inputs!$B$8*Inputs!$B$16*I6</f>
        <v>10171.0370601059</v>
      </c>
      <c r="J19" s="21" t="n">
        <f aca="false">Inputs!$B$8*Inputs!$B$16*J6</f>
        <v>10816.8171909063</v>
      </c>
      <c r="K19" s="21" t="n">
        <f aca="false">Inputs!$B$8*Inputs!$B$16*K6</f>
        <v>11301.1522890065</v>
      </c>
      <c r="L19" s="21" t="n">
        <f aca="false">Inputs!$B$8*Inputs!$B$16*L6</f>
        <v>11301.1522890065</v>
      </c>
      <c r="M19" s="21" t="n">
        <f aca="false">Inputs!$B$8*Inputs!$B$16*M6</f>
        <v>11301.1522890065</v>
      </c>
      <c r="N19" s="11" t="n">
        <f aca="false">Inputs!$B$8*Inputs!$B$16*N6</f>
        <v>12340.0159776854</v>
      </c>
      <c r="O19" s="11" t="n">
        <f aca="false">Inputs!$B$8*Inputs!$B$16*O6</f>
        <v>18573.1981097586</v>
      </c>
      <c r="P19" s="11" t="n">
        <f aca="false">Inputs!$B$8*Inputs!$B$16*P6</f>
        <v>18573.1981097586</v>
      </c>
      <c r="Q19" s="11" t="n">
        <f aca="false">Inputs!$B$8*Inputs!$B$16*Q6</f>
        <v>18573.1981097586</v>
      </c>
      <c r="R19" s="11" t="n">
        <f aca="false">Inputs!$B$8*Inputs!$B$16*R6</f>
        <v>40684.1482404236</v>
      </c>
      <c r="S19" s="11" t="n">
        <f aca="false">Inputs!$B$8*Inputs!$B$16*S6</f>
        <v>18152.0371548888</v>
      </c>
      <c r="T19" s="11" t="n">
        <f aca="false">Inputs!$B$8*Inputs!$B$16*T6</f>
        <v>18081.8436624105</v>
      </c>
      <c r="U19" s="11" t="n">
        <f aca="false">Inputs!$B$8*Inputs!$B$16*U6</f>
        <v>18081.8436624105</v>
      </c>
      <c r="V19" s="11" t="n">
        <f aca="false">Inputs!$B$8*Inputs!$B$16*V6</f>
        <v>18081.8436624105</v>
      </c>
      <c r="W19" s="11" t="n">
        <f aca="false">Inputs!$B$8*Inputs!$B$16*W6</f>
        <v>13722.8277795079</v>
      </c>
      <c r="X19" s="11" t="n">
        <f aca="false">Inputs!$B$8*Inputs!$B$16*X6</f>
        <v>7910.80660230458</v>
      </c>
      <c r="Y19" s="11" t="n">
        <f aca="false">Inputs!$B$8*Inputs!$B$16*Y6</f>
        <v>7910.80660230458</v>
      </c>
      <c r="Z19" s="11" t="n">
        <f aca="false">Inputs!$B$8*Inputs!$B$16*Z6</f>
        <v>7910.80660230458</v>
      </c>
    </row>
    <row r="20" customFormat="false" ht="15" hidden="false" customHeight="false" outlineLevel="0" collapsed="false">
      <c r="A20" s="5" t="s">
        <v>87</v>
      </c>
      <c r="B20" s="21" t="n">
        <f aca="false">Inputs!$B$8*Inputs!$B$18*B6</f>
        <v>6403.98629710371</v>
      </c>
      <c r="C20" s="21" t="n">
        <f aca="false">Inputs!$B$8*Inputs!$B$18*C6</f>
        <v>6403.98629710371</v>
      </c>
      <c r="D20" s="21" t="n">
        <f aca="false">Inputs!$B$8*Inputs!$B$18*D6</f>
        <v>6403.98629710371</v>
      </c>
      <c r="E20" s="21" t="n">
        <f aca="false">Inputs!$B$8*Inputs!$B$18*E6</f>
        <v>6403.98629710371</v>
      </c>
      <c r="F20" s="21" t="n">
        <f aca="false">Inputs!$B$8*Inputs!$B$18*F6</f>
        <v>6726.8763625039</v>
      </c>
      <c r="G20" s="21" t="n">
        <f aca="false">Inputs!$B$8*Inputs!$B$18*G6</f>
        <v>6780.69137340393</v>
      </c>
      <c r="H20" s="21" t="n">
        <f aca="false">Inputs!$B$8*Inputs!$B$18*H6</f>
        <v>6780.69137340393</v>
      </c>
      <c r="I20" s="21" t="n">
        <f aca="false">Inputs!$B$8*Inputs!$B$18*I6</f>
        <v>6780.69137340393</v>
      </c>
      <c r="J20" s="21" t="n">
        <f aca="false">Inputs!$B$8*Inputs!$B$18*J6</f>
        <v>7211.21146060418</v>
      </c>
      <c r="K20" s="21" t="n">
        <f aca="false">Inputs!$B$8*Inputs!$B$18*K6</f>
        <v>7534.10152600436</v>
      </c>
      <c r="L20" s="21" t="n">
        <f aca="false">Inputs!$B$8*Inputs!$B$18*L6</f>
        <v>7534.10152600436</v>
      </c>
      <c r="M20" s="21" t="n">
        <f aca="false">Inputs!$B$8*Inputs!$B$18*M6</f>
        <v>7534.10152600436</v>
      </c>
      <c r="N20" s="11" t="n">
        <f aca="false">Inputs!$B$8*Inputs!$B$18*N6</f>
        <v>8226.67731845694</v>
      </c>
      <c r="O20" s="11" t="n">
        <f aca="false">Inputs!$B$8*Inputs!$B$18*O6</f>
        <v>12382.1320731724</v>
      </c>
      <c r="P20" s="11" t="n">
        <f aca="false">Inputs!$B$8*Inputs!$B$18*P6</f>
        <v>12382.1320731724</v>
      </c>
      <c r="Q20" s="11" t="n">
        <f aca="false">Inputs!$B$8*Inputs!$B$18*Q6</f>
        <v>12382.1320731724</v>
      </c>
      <c r="R20" s="11" t="n">
        <f aca="false">Inputs!$B$8*Inputs!$B$18*R6</f>
        <v>27122.7654936157</v>
      </c>
      <c r="S20" s="11" t="n">
        <f aca="false">Inputs!$B$8*Inputs!$B$18*S6</f>
        <v>12101.3581032592</v>
      </c>
      <c r="T20" s="11" t="n">
        <f aca="false">Inputs!$B$8*Inputs!$B$18*T6</f>
        <v>12054.562441607</v>
      </c>
      <c r="U20" s="11" t="n">
        <f aca="false">Inputs!$B$8*Inputs!$B$18*U6</f>
        <v>12054.562441607</v>
      </c>
      <c r="V20" s="11" t="n">
        <f aca="false">Inputs!$B$8*Inputs!$B$18*V6</f>
        <v>12054.562441607</v>
      </c>
      <c r="W20" s="11" t="n">
        <f aca="false">Inputs!$B$8*Inputs!$B$18*W6</f>
        <v>9148.5518530053</v>
      </c>
      <c r="X20" s="11" t="n">
        <f aca="false">Inputs!$B$8*Inputs!$B$18*X6</f>
        <v>5273.87106820305</v>
      </c>
      <c r="Y20" s="11" t="n">
        <f aca="false">Inputs!$B$8*Inputs!$B$18*Y6</f>
        <v>5273.87106820305</v>
      </c>
      <c r="Z20" s="11" t="n">
        <f aca="false">Inputs!$B$8*Inputs!$B$18*Z6</f>
        <v>5273.87106820305</v>
      </c>
    </row>
    <row r="21" customFormat="false" ht="15" hidden="false" customHeight="false" outlineLevel="0" collapsed="false">
      <c r="A21" s="13" t="s">
        <v>88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1" t="n">
        <f aca="false">INDEX($B$19:$Z$19,1,(N$4-Inputs!$B$17)+13)+INDEX($B$20:$Z$20,1,(N$4-Inputs!$B$19)+13)</f>
        <v>17705.1385861102</v>
      </c>
      <c r="O21" s="11" t="n">
        <f aca="false">INDEX($B$19:$Z$19,1,(O$4-Inputs!$B$17)+13)+INDEX($B$20:$Z$20,1,(O$4-Inputs!$B$19)+13)</f>
        <v>19066.8923401893</v>
      </c>
      <c r="P21" s="11" t="n">
        <f aca="false">INDEX($B$19:$Z$19,1,(P$4-Inputs!$B$17)+13)+INDEX($B$20:$Z$20,1,(P$4-Inputs!$B$19)+13)</f>
        <v>25353.8894831625</v>
      </c>
      <c r="Q21" s="11" t="n">
        <f aca="false">INDEX($B$19:$Z$19,1,(Q$4-Inputs!$B$17)+13)+INDEX($B$20:$Z$20,1,(Q$4-Inputs!$B$19)+13)</f>
        <v>25353.8894831625</v>
      </c>
      <c r="R21" s="11" t="n">
        <f aca="false">INDEX($B$19:$Z$19,1,(R$4-Inputs!$B$17)+13)+INDEX($B$20:$Z$20,1,(R$4-Inputs!$B$19)+13)</f>
        <v>25353.8894831625</v>
      </c>
      <c r="S21" s="11" t="n">
        <f aca="false">INDEX($B$19:$Z$19,1,(S$4-Inputs!$B$17)+13)+INDEX($B$20:$Z$20,1,(S$4-Inputs!$B$19)+13)</f>
        <v>47895.3597010277</v>
      </c>
      <c r="T21" s="11" t="n">
        <f aca="false">INDEX($B$19:$Z$19,1,(T$4-Inputs!$B$17)+13)+INDEX($B$20:$Z$20,1,(T$4-Inputs!$B$19)+13)</f>
        <v>25686.1386808931</v>
      </c>
      <c r="U21" s="11" t="n">
        <f aca="false">INDEX($B$19:$Z$19,1,(U$4-Inputs!$B$17)+13)+INDEX($B$20:$Z$20,1,(U$4-Inputs!$B$19)+13)</f>
        <v>25615.9451884148</v>
      </c>
      <c r="V21" s="11" t="n">
        <f aca="false">INDEX($B$19:$Z$19,1,(V$4-Inputs!$B$17)+13)+INDEX($B$20:$Z$20,1,(V$4-Inputs!$B$19)+13)</f>
        <v>25615.9451884148</v>
      </c>
      <c r="W21" s="11" t="n">
        <f aca="false">INDEX($B$19:$Z$19,1,(W$4-Inputs!$B$17)+13)+INDEX($B$20:$Z$20,1,(W$4-Inputs!$B$19)+13)</f>
        <v>26308.5209808674</v>
      </c>
      <c r="X21" s="11" t="n">
        <f aca="false">INDEX($B$19:$Z$19,1,(X$4-Inputs!$B$17)+13)+INDEX($B$20:$Z$20,1,(X$4-Inputs!$B$19)+13)</f>
        <v>26104.9598526803</v>
      </c>
      <c r="Y21" s="11" t="n">
        <f aca="false">INDEX($B$19:$Z$19,1,(Y$4-Inputs!$B$17)+13)+INDEX($B$20:$Z$20,1,(Y$4-Inputs!$B$19)+13)</f>
        <v>20292.938675477</v>
      </c>
      <c r="Z21" s="11" t="n">
        <f aca="false">INDEX($B$19:$Z$19,1,(Z$4-Inputs!$B$17)+13)+INDEX($B$20:$Z$20,1,(Z$4-Inputs!$B$19)+13)</f>
        <v>20292.938675477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5" t="s">
        <v>89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" t="n">
        <v>0</v>
      </c>
      <c r="O23" s="16" t="n">
        <v>1</v>
      </c>
      <c r="P23" s="16" t="n">
        <v>0</v>
      </c>
      <c r="Q23" s="16" t="n">
        <v>1</v>
      </c>
      <c r="R23" s="16" t="n">
        <v>0</v>
      </c>
      <c r="S23" s="16" t="n">
        <v>1</v>
      </c>
      <c r="T23" s="16" t="n">
        <v>0</v>
      </c>
      <c r="U23" s="16" t="n">
        <v>1</v>
      </c>
      <c r="V23" s="16" t="n">
        <v>0</v>
      </c>
      <c r="W23" s="16" t="n">
        <v>1</v>
      </c>
      <c r="X23" s="16" t="n">
        <v>0</v>
      </c>
      <c r="Y23" s="16" t="n">
        <v>1</v>
      </c>
      <c r="Z23" s="16" t="n">
        <v>0</v>
      </c>
    </row>
    <row r="24" customFormat="false" ht="15" hidden="false" customHeight="false" outlineLevel="0" collapsed="false">
      <c r="A24" s="5" t="s">
        <v>90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1" t="n">
        <f aca="false">-N23*Inputs!$B$23</f>
        <v>-0</v>
      </c>
      <c r="O24" s="11" t="n">
        <f aca="false">-O23*Inputs!$B$23</f>
        <v>-50000</v>
      </c>
      <c r="P24" s="11" t="n">
        <f aca="false">-P23*Inputs!$B$23</f>
        <v>-0</v>
      </c>
      <c r="Q24" s="11" t="n">
        <f aca="false">-Q23*Inputs!$B$23</f>
        <v>-50000</v>
      </c>
      <c r="R24" s="11" t="n">
        <f aca="false">-R23*Inputs!$B$23</f>
        <v>-0</v>
      </c>
      <c r="S24" s="11" t="n">
        <f aca="false">-S23*Inputs!$B$23</f>
        <v>-50000</v>
      </c>
      <c r="T24" s="11" t="n">
        <f aca="false">-T23*Inputs!$B$23</f>
        <v>-0</v>
      </c>
      <c r="U24" s="11" t="n">
        <f aca="false">-U23*Inputs!$B$23</f>
        <v>-50000</v>
      </c>
      <c r="V24" s="11" t="n">
        <f aca="false">-V23*Inputs!$B$23</f>
        <v>-0</v>
      </c>
      <c r="W24" s="11" t="n">
        <f aca="false">-W23*Inputs!$B$23</f>
        <v>-50000</v>
      </c>
      <c r="X24" s="11" t="n">
        <f aca="false">-X23*Inputs!$B$23</f>
        <v>-0</v>
      </c>
      <c r="Y24" s="11" t="n">
        <f aca="false">-Y23*Inputs!$B$23</f>
        <v>-50000</v>
      </c>
      <c r="Z24" s="11" t="n">
        <f aca="false">-Z23*Inputs!$B$23</f>
        <v>-0</v>
      </c>
    </row>
    <row r="25" customFormat="false" ht="15" hidden="false" customHeight="false" outlineLevel="0" collapsed="false">
      <c r="A25" s="5" t="s">
        <v>91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1" t="n">
        <f aca="false">-SUMIFS(Bills!$M$2:$M$11,Bills!$C$2:$C$11,"inventory",Bills!$F$2:$F$11,N$4)</f>
        <v>-0</v>
      </c>
      <c r="O25" s="11" t="n">
        <f aca="false">-SUMIFS(Bills!$M$2:$M$11,Bills!$C$2:$C$11,"inventory",Bills!$F$2:$F$11,O$4)</f>
        <v>-0</v>
      </c>
      <c r="P25" s="11" t="n">
        <f aca="false">-SUMIFS(Bills!$M$2:$M$11,Bills!$C$2:$C$11,"inventory",Bills!$F$2:$F$11,P$4)</f>
        <v>-0</v>
      </c>
      <c r="Q25" s="11" t="n">
        <f aca="false">-SUMIFS(Bills!$M$2:$M$11,Bills!$C$2:$C$11,"inventory",Bills!$F$2:$F$11,Q$4)</f>
        <v>-520000</v>
      </c>
      <c r="R25" s="11" t="n">
        <f aca="false">-SUMIFS(Bills!$M$2:$M$11,Bills!$C$2:$C$11,"inventory",Bills!$F$2:$F$11,R$4)</f>
        <v>-0</v>
      </c>
      <c r="S25" s="11" t="n">
        <f aca="false">-SUMIFS(Bills!$M$2:$M$11,Bills!$C$2:$C$11,"inventory",Bills!$F$2:$F$11,S$4)</f>
        <v>-0</v>
      </c>
      <c r="T25" s="11" t="n">
        <f aca="false">-SUMIFS(Bills!$M$2:$M$11,Bills!$C$2:$C$11,"inventory",Bills!$F$2:$F$11,T$4)</f>
        <v>-0</v>
      </c>
      <c r="U25" s="11" t="n">
        <f aca="false">-SUMIFS(Bills!$M$2:$M$11,Bills!$C$2:$C$11,"inventory",Bills!$F$2:$F$11,U$4)</f>
        <v>-0</v>
      </c>
      <c r="V25" s="11" t="n">
        <f aca="false">-SUMIFS(Bills!$M$2:$M$11,Bills!$C$2:$C$11,"inventory",Bills!$F$2:$F$11,V$4)</f>
        <v>-0</v>
      </c>
      <c r="W25" s="11" t="n">
        <f aca="false">-SUMIFS(Bills!$M$2:$M$11,Bills!$C$2:$C$11,"inventory",Bills!$F$2:$F$11,W$4)</f>
        <v>-0</v>
      </c>
      <c r="X25" s="11" t="n">
        <f aca="false">-SUMIFS(Bills!$M$2:$M$11,Bills!$C$2:$C$11,"inventory",Bills!$F$2:$F$11,X$4)</f>
        <v>-200000</v>
      </c>
      <c r="Y25" s="11" t="n">
        <f aca="false">-SUMIFS(Bills!$M$2:$M$11,Bills!$C$2:$C$11,"inventory",Bills!$F$2:$F$11,Y$4)</f>
        <v>-0</v>
      </c>
      <c r="Z25" s="11" t="n">
        <f aca="false">-SUMIFS(Bills!$M$2:$M$11,Bills!$C$2:$C$11,"inventory",Bills!$F$2:$F$11,Z$4)</f>
        <v>-0</v>
      </c>
    </row>
    <row r="26" customFormat="false" ht="15" hidden="false" customHeight="false" outlineLevel="0" collapsed="false">
      <c r="A26" s="5" t="s">
        <v>92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1" t="n">
        <f aca="false">-SUMIFS(Bills!$M$2:$M$11,Bills!$C$2:$C$11,"freight_duty",Bills!$F$2:$F$11,N$4)</f>
        <v>-0</v>
      </c>
      <c r="O26" s="11" t="n">
        <f aca="false">-SUMIFS(Bills!$M$2:$M$11,Bills!$C$2:$C$11,"freight_duty",Bills!$F$2:$F$11,O$4)</f>
        <v>-0</v>
      </c>
      <c r="P26" s="11" t="n">
        <f aca="false">-SUMIFS(Bills!$M$2:$M$11,Bills!$C$2:$C$11,"freight_duty",Bills!$F$2:$F$11,P$4)</f>
        <v>-0</v>
      </c>
      <c r="Q26" s="11" t="n">
        <f aca="false">-SUMIFS(Bills!$M$2:$M$11,Bills!$C$2:$C$11,"freight_duty",Bills!$F$2:$F$11,Q$4)</f>
        <v>-95000</v>
      </c>
      <c r="R26" s="11" t="n">
        <f aca="false">-SUMIFS(Bills!$M$2:$M$11,Bills!$C$2:$C$11,"freight_duty",Bills!$F$2:$F$11,R$4)</f>
        <v>-0</v>
      </c>
      <c r="S26" s="11" t="n">
        <f aca="false">-SUMIFS(Bills!$M$2:$M$11,Bills!$C$2:$C$11,"freight_duty",Bills!$F$2:$F$11,S$4)</f>
        <v>-0</v>
      </c>
      <c r="T26" s="11" t="n">
        <f aca="false">-SUMIFS(Bills!$M$2:$M$11,Bills!$C$2:$C$11,"freight_duty",Bills!$F$2:$F$11,T$4)</f>
        <v>-0</v>
      </c>
      <c r="U26" s="11" t="n">
        <f aca="false">-SUMIFS(Bills!$M$2:$M$11,Bills!$C$2:$C$11,"freight_duty",Bills!$F$2:$F$11,U$4)</f>
        <v>-0</v>
      </c>
      <c r="V26" s="11" t="n">
        <f aca="false">-SUMIFS(Bills!$M$2:$M$11,Bills!$C$2:$C$11,"freight_duty",Bills!$F$2:$F$11,V$4)</f>
        <v>-0</v>
      </c>
      <c r="W26" s="11" t="n">
        <f aca="false">-SUMIFS(Bills!$M$2:$M$11,Bills!$C$2:$C$11,"freight_duty",Bills!$F$2:$F$11,W$4)</f>
        <v>-0</v>
      </c>
      <c r="X26" s="11" t="n">
        <f aca="false">-SUMIFS(Bills!$M$2:$M$11,Bills!$C$2:$C$11,"freight_duty",Bills!$F$2:$F$11,X$4)</f>
        <v>-0</v>
      </c>
      <c r="Y26" s="11" t="n">
        <f aca="false">-SUMIFS(Bills!$M$2:$M$11,Bills!$C$2:$C$11,"freight_duty",Bills!$F$2:$F$11,Y$4)</f>
        <v>-0</v>
      </c>
      <c r="Z26" s="11" t="n">
        <f aca="false">-SUMIFS(Bills!$M$2:$M$11,Bills!$C$2:$C$11,"freight_duty",Bills!$F$2:$F$11,Z$4)</f>
        <v>-0</v>
      </c>
    </row>
    <row r="27" customFormat="false" ht="15" hidden="false" customHeight="false" outlineLevel="0" collapsed="false">
      <c r="A27" s="5" t="s">
        <v>93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1" t="n">
        <f aca="false">-SUMIFS(Bills!$M$2:$M$11,Bills!$C$2:$C$11,"fulfillment_3pl",Bills!$F$2:$F$11,N$4)</f>
        <v>-0</v>
      </c>
      <c r="O27" s="11" t="n">
        <f aca="false">-SUMIFS(Bills!$M$2:$M$11,Bills!$C$2:$C$11,"fulfillment_3pl",Bills!$F$2:$F$11,O$4)</f>
        <v>-0</v>
      </c>
      <c r="P27" s="11" t="n">
        <f aca="false">-SUMIFS(Bills!$M$2:$M$11,Bills!$C$2:$C$11,"fulfillment_3pl",Bills!$F$2:$F$11,P$4)</f>
        <v>-0</v>
      </c>
      <c r="Q27" s="11" t="n">
        <f aca="false">-SUMIFS(Bills!$M$2:$M$11,Bills!$C$2:$C$11,"fulfillment_3pl",Bills!$F$2:$F$11,Q$4)</f>
        <v>-0</v>
      </c>
      <c r="R27" s="11" t="n">
        <f aca="false">-SUMIFS(Bills!$M$2:$M$11,Bills!$C$2:$C$11,"fulfillment_3pl",Bills!$F$2:$F$11,R$4)</f>
        <v>-0</v>
      </c>
      <c r="S27" s="11" t="n">
        <f aca="false">-SUMIFS(Bills!$M$2:$M$11,Bills!$C$2:$C$11,"fulfillment_3pl",Bills!$F$2:$F$11,S$4)</f>
        <v>-0</v>
      </c>
      <c r="T27" s="11" t="n">
        <f aca="false">-SUMIFS(Bills!$M$2:$M$11,Bills!$C$2:$C$11,"fulfillment_3pl",Bills!$F$2:$F$11,T$4)</f>
        <v>-69511.0557458735</v>
      </c>
      <c r="U27" s="11" t="n">
        <f aca="false">-SUMIFS(Bills!$M$2:$M$11,Bills!$C$2:$C$11,"fulfillment_3pl",Bills!$F$2:$F$11,U$4)</f>
        <v>-0</v>
      </c>
      <c r="V27" s="11" t="n">
        <f aca="false">-SUMIFS(Bills!$M$2:$M$11,Bills!$C$2:$C$11,"fulfillment_3pl",Bills!$F$2:$F$11,V$4)</f>
        <v>-0</v>
      </c>
      <c r="W27" s="11" t="n">
        <f aca="false">-SUMIFS(Bills!$M$2:$M$11,Bills!$C$2:$C$11,"fulfillment_3pl",Bills!$F$2:$F$11,W$4)</f>
        <v>-0</v>
      </c>
      <c r="X27" s="11" t="n">
        <f aca="false">-SUMIFS(Bills!$M$2:$M$11,Bills!$C$2:$C$11,"fulfillment_3pl",Bills!$F$2:$F$11,X$4)</f>
        <v>-141264.403612582</v>
      </c>
      <c r="Y27" s="11" t="n">
        <f aca="false">-SUMIFS(Bills!$M$2:$M$11,Bills!$C$2:$C$11,"fulfillment_3pl",Bills!$F$2:$F$11,Y$4)</f>
        <v>-0</v>
      </c>
      <c r="Z27" s="11" t="n">
        <f aca="false">-SUMIFS(Bills!$M$2:$M$11,Bills!$C$2:$C$11,"fulfillment_3pl",Bills!$F$2:$F$11,Z$4)</f>
        <v>-0</v>
      </c>
    </row>
    <row r="28" customFormat="false" ht="15" hidden="false" customHeight="false" outlineLevel="0" collapsed="false">
      <c r="A28" s="5" t="s">
        <v>94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1" t="n">
        <f aca="false">-SUMIFS(Bills!$M$2:$M$11,Bills!$C$2:$C$11,"other_ap",Bills!$F$2:$F$11,N$4)</f>
        <v>-0</v>
      </c>
      <c r="O28" s="11" t="n">
        <f aca="false">-SUMIFS(Bills!$M$2:$M$11,Bills!$C$2:$C$11,"other_ap",Bills!$F$2:$F$11,O$4)</f>
        <v>-0</v>
      </c>
      <c r="P28" s="11" t="n">
        <f aca="false">-SUMIFS(Bills!$M$2:$M$11,Bills!$C$2:$C$11,"other_ap",Bills!$F$2:$F$11,P$4)</f>
        <v>-0</v>
      </c>
      <c r="Q28" s="11" t="n">
        <f aca="false">-SUMIFS(Bills!$M$2:$M$11,Bills!$C$2:$C$11,"other_ap",Bills!$F$2:$F$11,Q$4)</f>
        <v>-0</v>
      </c>
      <c r="R28" s="11" t="n">
        <f aca="false">-SUMIFS(Bills!$M$2:$M$11,Bills!$C$2:$C$11,"other_ap",Bills!$F$2:$F$11,R$4)</f>
        <v>-0</v>
      </c>
      <c r="S28" s="11" t="n">
        <f aca="false">-SUMIFS(Bills!$M$2:$M$11,Bills!$C$2:$C$11,"other_ap",Bills!$F$2:$F$11,S$4)</f>
        <v>-5560.88445966988</v>
      </c>
      <c r="T28" s="11" t="n">
        <f aca="false">-SUMIFS(Bills!$M$2:$M$11,Bills!$C$2:$C$11,"other_ap",Bills!$F$2:$F$11,T$4)</f>
        <v>-0</v>
      </c>
      <c r="U28" s="11" t="n">
        <f aca="false">-SUMIFS(Bills!$M$2:$M$11,Bills!$C$2:$C$11,"other_ap",Bills!$F$2:$F$11,U$4)</f>
        <v>-0</v>
      </c>
      <c r="V28" s="11" t="n">
        <f aca="false">-SUMIFS(Bills!$M$2:$M$11,Bills!$C$2:$C$11,"other_ap",Bills!$F$2:$F$11,V$4)</f>
        <v>-0</v>
      </c>
      <c r="W28" s="11" t="n">
        <f aca="false">-SUMIFS(Bills!$M$2:$M$11,Bills!$C$2:$C$11,"other_ap",Bills!$F$2:$F$11,W$4)</f>
        <v>-20301.1522890065</v>
      </c>
      <c r="X28" s="11" t="n">
        <f aca="false">-SUMIFS(Bills!$M$2:$M$11,Bills!$C$2:$C$11,"other_ap",Bills!$F$2:$F$11,X$4)</f>
        <v>-0</v>
      </c>
      <c r="Y28" s="11" t="n">
        <f aca="false">-SUMIFS(Bills!$M$2:$M$11,Bills!$C$2:$C$11,"other_ap",Bills!$F$2:$F$11,Y$4)</f>
        <v>-0</v>
      </c>
      <c r="Z28" s="11" t="n">
        <f aca="false">-SUMIFS(Bills!$M$2:$M$11,Bills!$C$2:$C$11,"other_ap",Bills!$F$2:$F$11,Z$4)</f>
        <v>-0</v>
      </c>
    </row>
    <row r="29" customFormat="false" ht="15" hidden="false" customHeight="false" outlineLevel="0" collapsed="false">
      <c r="A29" s="5" t="s">
        <v>95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1" t="n">
        <f aca="false">-SUMIFS(Calendar!$I$2:$I$176,Calendar!$B$2:$B$176,N$4)</f>
        <v>-0</v>
      </c>
      <c r="O29" s="11" t="n">
        <f aca="false">-SUMIFS(Calendar!$I$2:$I$176,Calendar!$B$2:$B$176,O$4)</f>
        <v>-0</v>
      </c>
      <c r="P29" s="11" t="n">
        <f aca="false">-SUMIFS(Calendar!$I$2:$I$176,Calendar!$B$2:$B$176,P$4)</f>
        <v>-0</v>
      </c>
      <c r="Q29" s="11" t="n">
        <f aca="false">-SUMIFS(Calendar!$I$2:$I$176,Calendar!$B$2:$B$176,Q$4)</f>
        <v>-134735.905108797</v>
      </c>
      <c r="R29" s="11" t="n">
        <f aca="false">-SUMIFS(Calendar!$I$2:$I$176,Calendar!$B$2:$B$176,R$4)</f>
        <v>-0</v>
      </c>
      <c r="S29" s="11" t="n">
        <f aca="false">-SUMIFS(Calendar!$I$2:$I$176,Calendar!$B$2:$B$176,S$4)</f>
        <v>-0</v>
      </c>
      <c r="T29" s="11" t="n">
        <f aca="false">-SUMIFS(Calendar!$I$2:$I$176,Calendar!$B$2:$B$176,T$4)</f>
        <v>-0</v>
      </c>
      <c r="U29" s="11" t="n">
        <f aca="false">-SUMIFS(Calendar!$I$2:$I$176,Calendar!$B$2:$B$176,U$4)</f>
        <v>-0</v>
      </c>
      <c r="V29" s="11" t="n">
        <f aca="false">-SUMIFS(Calendar!$I$2:$I$176,Calendar!$B$2:$B$176,V$4)</f>
        <v>-256191.721392496</v>
      </c>
      <c r="W29" s="11" t="n">
        <f aca="false">-SUMIFS(Calendar!$I$2:$I$176,Calendar!$B$2:$B$176,W$4)</f>
        <v>-0</v>
      </c>
      <c r="X29" s="11" t="n">
        <f aca="false">-SUMIFS(Calendar!$I$2:$I$176,Calendar!$B$2:$B$176,X$4)</f>
        <v>-0</v>
      </c>
      <c r="Y29" s="11" t="n">
        <f aca="false">-SUMIFS(Calendar!$I$2:$I$176,Calendar!$B$2:$B$176,Y$4)</f>
        <v>-0</v>
      </c>
      <c r="Z29" s="11" t="n">
        <f aca="false">-SUMIFS(Calendar!$I$2:$I$176,Calendar!$B$2:$B$176,Z$4)</f>
        <v>-200021.201189235</v>
      </c>
    </row>
    <row r="30" customFormat="false" ht="15" hidden="false" customHeight="false" outlineLevel="0" collapsed="false">
      <c r="A30" s="5" t="s">
        <v>96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1" t="n">
        <f aca="false">-SUMIFS(Calendar!$J$2:$J$176,Calendar!$B$2:$B$176,N$4)</f>
        <v>-24000</v>
      </c>
      <c r="O30" s="11" t="n">
        <f aca="false">-SUMIFS(Calendar!$J$2:$J$176,Calendar!$B$2:$B$176,O$4)</f>
        <v>-0</v>
      </c>
      <c r="P30" s="11" t="n">
        <f aca="false">-SUMIFS(Calendar!$J$2:$J$176,Calendar!$B$2:$B$176,P$4)</f>
        <v>-0</v>
      </c>
      <c r="Q30" s="11" t="n">
        <f aca="false">-SUMIFS(Calendar!$J$2:$J$176,Calendar!$B$2:$B$176,Q$4)</f>
        <v>-0</v>
      </c>
      <c r="R30" s="11" t="n">
        <f aca="false">-SUMIFS(Calendar!$J$2:$J$176,Calendar!$B$2:$B$176,R$4)</f>
        <v>-0</v>
      </c>
      <c r="S30" s="11" t="n">
        <f aca="false">-SUMIFS(Calendar!$J$2:$J$176,Calendar!$B$2:$B$176,S$4)</f>
        <v>-24000</v>
      </c>
      <c r="T30" s="11" t="n">
        <f aca="false">-SUMIFS(Calendar!$J$2:$J$176,Calendar!$B$2:$B$176,T$4)</f>
        <v>-0</v>
      </c>
      <c r="U30" s="11" t="n">
        <f aca="false">-SUMIFS(Calendar!$J$2:$J$176,Calendar!$B$2:$B$176,U$4)</f>
        <v>-0</v>
      </c>
      <c r="V30" s="11" t="n">
        <f aca="false">-SUMIFS(Calendar!$J$2:$J$176,Calendar!$B$2:$B$176,V$4)</f>
        <v>-0</v>
      </c>
      <c r="W30" s="11" t="n">
        <f aca="false">-SUMIFS(Calendar!$J$2:$J$176,Calendar!$B$2:$B$176,W$4)</f>
        <v>-24000</v>
      </c>
      <c r="X30" s="11" t="n">
        <f aca="false">-SUMIFS(Calendar!$J$2:$J$176,Calendar!$B$2:$B$176,X$4)</f>
        <v>-0</v>
      </c>
      <c r="Y30" s="11" t="n">
        <f aca="false">-SUMIFS(Calendar!$J$2:$J$176,Calendar!$B$2:$B$176,Y$4)</f>
        <v>-0</v>
      </c>
      <c r="Z30" s="11" t="n">
        <f aca="false">-SUMIFS(Calendar!$J$2:$J$176,Calendar!$B$2:$B$176,Z$4)</f>
        <v>-0</v>
      </c>
    </row>
    <row r="31" customFormat="false" ht="15" hidden="false" customHeight="false" outlineLevel="0" collapsed="false">
      <c r="A31" s="5" t="s">
        <v>97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1" t="n">
        <f aca="false">-SUMIFS(Calendar!$L$2:$L$176,Calendar!$B$2:$B$176,N$4)</f>
        <v>-0</v>
      </c>
      <c r="O31" s="11" t="n">
        <f aca="false">-SUMIFS(Calendar!$L$2:$L$176,Calendar!$B$2:$B$176,O$4)</f>
        <v>-0</v>
      </c>
      <c r="P31" s="11" t="n">
        <f aca="false">-SUMIFS(Calendar!$L$2:$L$176,Calendar!$B$2:$B$176,P$4)</f>
        <v>-0</v>
      </c>
      <c r="Q31" s="11" t="n">
        <f aca="false">-SUMIFS(Calendar!$L$2:$L$176,Calendar!$B$2:$B$176,Q$4)</f>
        <v>-22243.5378386795</v>
      </c>
      <c r="R31" s="11" t="n">
        <f aca="false">-SUMIFS(Calendar!$L$2:$L$176,Calendar!$B$2:$B$176,R$4)</f>
        <v>-0</v>
      </c>
      <c r="S31" s="11" t="n">
        <f aca="false">-SUMIFS(Calendar!$L$2:$L$176,Calendar!$B$2:$B$176,S$4)</f>
        <v>-0</v>
      </c>
      <c r="T31" s="11" t="n">
        <f aca="false">-SUMIFS(Calendar!$L$2:$L$176,Calendar!$B$2:$B$176,T$4)</f>
        <v>-0</v>
      </c>
      <c r="U31" s="11" t="n">
        <f aca="false">-SUMIFS(Calendar!$L$2:$L$176,Calendar!$B$2:$B$176,U$4)</f>
        <v>-45204.6091560261</v>
      </c>
      <c r="V31" s="11" t="n">
        <f aca="false">-SUMIFS(Calendar!$L$2:$L$176,Calendar!$B$2:$B$176,V$4)</f>
        <v>-0</v>
      </c>
      <c r="W31" s="11" t="n">
        <f aca="false">-SUMIFS(Calendar!$L$2:$L$176,Calendar!$B$2:$B$176,W$4)</f>
        <v>-0</v>
      </c>
      <c r="X31" s="11" t="n">
        <f aca="false">-SUMIFS(Calendar!$L$2:$L$176,Calendar!$B$2:$B$176,X$4)</f>
        <v>-0</v>
      </c>
      <c r="Y31" s="11" t="n">
        <f aca="false">-SUMIFS(Calendar!$L$2:$L$176,Calendar!$B$2:$B$176,Y$4)</f>
        <v>-0</v>
      </c>
      <c r="Z31" s="11" t="n">
        <f aca="false">-SUMIFS(Calendar!$L$2:$L$176,Calendar!$B$2:$B$176,Z$4)</f>
        <v>-35589.6605418873</v>
      </c>
    </row>
    <row r="32" customFormat="false" ht="15" hidden="false" customHeight="false" outlineLevel="0" collapsed="false">
      <c r="A32" s="5" t="s">
        <v>98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1" t="n">
        <f aca="false">-SUMIFS(Calendar!$K$2:$K$176,Calendar!$B$2:$B$176,N$4)</f>
        <v>-3666.66666666667</v>
      </c>
      <c r="O32" s="11" t="n">
        <f aca="false">-SUMIFS(Calendar!$K$2:$K$176,Calendar!$B$2:$B$176,O$4)</f>
        <v>-0</v>
      </c>
      <c r="P32" s="11" t="n">
        <f aca="false">-SUMIFS(Calendar!$K$2:$K$176,Calendar!$B$2:$B$176,P$4)</f>
        <v>-0</v>
      </c>
      <c r="Q32" s="11" t="n">
        <f aca="false">-SUMIFS(Calendar!$K$2:$K$176,Calendar!$B$2:$B$176,Q$4)</f>
        <v>-0</v>
      </c>
      <c r="R32" s="11" t="n">
        <f aca="false">-SUMIFS(Calendar!$K$2:$K$176,Calendar!$B$2:$B$176,R$4)</f>
        <v>-0</v>
      </c>
      <c r="S32" s="11" t="n">
        <f aca="false">-SUMIFS(Calendar!$K$2:$K$176,Calendar!$B$2:$B$176,S$4)</f>
        <v>-3666.66666666667</v>
      </c>
      <c r="T32" s="11" t="n">
        <f aca="false">-SUMIFS(Calendar!$K$2:$K$176,Calendar!$B$2:$B$176,T$4)</f>
        <v>-0</v>
      </c>
      <c r="U32" s="11" t="n">
        <f aca="false">-SUMIFS(Calendar!$K$2:$K$176,Calendar!$B$2:$B$176,U$4)</f>
        <v>-0</v>
      </c>
      <c r="V32" s="11" t="n">
        <f aca="false">-SUMIFS(Calendar!$K$2:$K$176,Calendar!$B$2:$B$176,V$4)</f>
        <v>-0</v>
      </c>
      <c r="W32" s="11" t="n">
        <f aca="false">-SUMIFS(Calendar!$K$2:$K$176,Calendar!$B$2:$B$176,W$4)</f>
        <v>-3666.66666666667</v>
      </c>
      <c r="X32" s="11" t="n">
        <f aca="false">-SUMIFS(Calendar!$K$2:$K$176,Calendar!$B$2:$B$176,X$4)</f>
        <v>-0</v>
      </c>
      <c r="Y32" s="11" t="n">
        <f aca="false">-SUMIFS(Calendar!$K$2:$K$176,Calendar!$B$2:$B$176,Y$4)</f>
        <v>-0</v>
      </c>
      <c r="Z32" s="11" t="n">
        <f aca="false">-SUMIFS(Calendar!$K$2:$K$176,Calendar!$B$2:$B$176,Z$4)</f>
        <v>-0</v>
      </c>
    </row>
    <row r="33" customFormat="false" ht="15" hidden="false" customHeight="false" outlineLevel="0" collapsed="false">
      <c r="A33" s="5" t="s">
        <v>99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1" t="n">
        <f aca="false">-Inputs!$B$26</f>
        <v>-160.9375</v>
      </c>
      <c r="O33" s="11" t="n">
        <f aca="false">-Inputs!$B$26</f>
        <v>-160.9375</v>
      </c>
      <c r="P33" s="11" t="n">
        <f aca="false">-Inputs!$B$26</f>
        <v>-160.9375</v>
      </c>
      <c r="Q33" s="11" t="n">
        <f aca="false">-Inputs!$B$26</f>
        <v>-160.9375</v>
      </c>
      <c r="R33" s="11" t="n">
        <f aca="false">-Inputs!$B$26</f>
        <v>-160.9375</v>
      </c>
      <c r="S33" s="11" t="n">
        <f aca="false">-Inputs!$B$26</f>
        <v>-160.9375</v>
      </c>
      <c r="T33" s="11" t="n">
        <f aca="false">-Inputs!$B$26</f>
        <v>-160.9375</v>
      </c>
      <c r="U33" s="11" t="n">
        <f aca="false">-Inputs!$B$26</f>
        <v>-160.9375</v>
      </c>
      <c r="V33" s="11" t="n">
        <f aca="false">-Inputs!$B$26</f>
        <v>-160.9375</v>
      </c>
      <c r="W33" s="11" t="n">
        <f aca="false">-Inputs!$B$26</f>
        <v>-160.9375</v>
      </c>
      <c r="X33" s="11" t="n">
        <f aca="false">-Inputs!$B$26</f>
        <v>-160.9375</v>
      </c>
      <c r="Y33" s="11" t="n">
        <f aca="false">-Inputs!$B$26</f>
        <v>-160.9375</v>
      </c>
      <c r="Z33" s="11" t="n">
        <f aca="false">-Inputs!$B$26</f>
        <v>-160.9375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13" t="s">
        <v>100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 t="n">
        <f aca="false">N14+N17+N21+SUM(N24:N33)</f>
        <v>128959.738653693</v>
      </c>
      <c r="O35" s="25" t="n">
        <f aca="false">O14+O17+O21+SUM(O24:O33)</f>
        <v>138322.390406409</v>
      </c>
      <c r="P35" s="25" t="n">
        <f aca="false">P14+P17+P21+SUM(P24:P33)</f>
        <v>236619.494980739</v>
      </c>
      <c r="Q35" s="25" t="n">
        <f aca="false">Q14+Q17+Q21+SUM(Q24:Q33)</f>
        <v>-609403.558923639</v>
      </c>
      <c r="R35" s="25" t="n">
        <f aca="false">R14+R17+R21+SUM(R24:R33)</f>
        <v>400809.94023821</v>
      </c>
      <c r="S35" s="25" t="n">
        <f aca="false">S14+S17+S21+SUM(S24:S33)</f>
        <v>212587.213887576</v>
      </c>
      <c r="T35" s="25" t="n">
        <f aca="false">T14+T17+T21+SUM(T24:T33)</f>
        <v>184403.659991774</v>
      </c>
      <c r="U35" s="25" t="n">
        <f aca="false">U14+U17+U21+SUM(U24:U33)</f>
        <v>112676.110148708</v>
      </c>
      <c r="V35" s="25" t="n">
        <f aca="false">V14+V17+V21+SUM(V24:V33)</f>
        <v>-20183.6897240125</v>
      </c>
      <c r="W35" s="25" t="n">
        <f aca="false">W14+W17+W21+SUM(W24:W33)</f>
        <v>79192.2572414819</v>
      </c>
      <c r="X35" s="25" t="n">
        <f aca="false">X14+X17+X21+SUM(X24:X33)</f>
        <v>-195903.184792757</v>
      </c>
      <c r="Y35" s="25" t="n">
        <f aca="false">Y14+Y17+Y21+SUM(Y24:Y33)</f>
        <v>47306.3144735149</v>
      </c>
      <c r="Z35" s="25" t="n">
        <f aca="false">Z14+Z17+Z21+SUM(Z24:Z33)</f>
        <v>-125998.848098467</v>
      </c>
    </row>
    <row r="36" customFormat="false" ht="15" hidden="false" customHeight="false" outlineLevel="0" collapsed="false">
      <c r="A36" s="5" t="s">
        <v>101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1" t="n">
        <f aca="false">Inputs!$B$27</f>
        <v>300000</v>
      </c>
      <c r="O36" s="11" t="n">
        <f aca="false">N37</f>
        <v>428959.738653693</v>
      </c>
      <c r="P36" s="11" t="n">
        <f aca="false">O37</f>
        <v>567282.129060101</v>
      </c>
      <c r="Q36" s="11" t="n">
        <f aca="false">P37</f>
        <v>803901.62404084</v>
      </c>
      <c r="R36" s="11" t="n">
        <f aca="false">Q37</f>
        <v>194498.065117201</v>
      </c>
      <c r="S36" s="11" t="n">
        <f aca="false">R37</f>
        <v>595308.005355411</v>
      </c>
      <c r="T36" s="11" t="n">
        <f aca="false">S37</f>
        <v>807895.219242987</v>
      </c>
      <c r="U36" s="11" t="n">
        <f aca="false">T37</f>
        <v>992298.879234761</v>
      </c>
      <c r="V36" s="11" t="n">
        <f aca="false">U37</f>
        <v>1104974.98938347</v>
      </c>
      <c r="W36" s="11" t="n">
        <f aca="false">V37</f>
        <v>1084791.29965946</v>
      </c>
      <c r="X36" s="11" t="n">
        <f aca="false">W37</f>
        <v>1163983.55690094</v>
      </c>
      <c r="Y36" s="11" t="n">
        <f aca="false">X37</f>
        <v>968080.372108181</v>
      </c>
      <c r="Z36" s="11" t="n">
        <f aca="false">Y37</f>
        <v>1015386.6865817</v>
      </c>
    </row>
    <row r="37" customFormat="false" ht="15" hidden="false" customHeight="false" outlineLevel="0" collapsed="false">
      <c r="A37" s="13" t="s">
        <v>102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6" t="n">
        <f aca="false">N36+N35</f>
        <v>428959.738653693</v>
      </c>
      <c r="O37" s="26" t="n">
        <f aca="false">O36+O35</f>
        <v>567282.129060101</v>
      </c>
      <c r="P37" s="26" t="n">
        <f aca="false">P36+P35</f>
        <v>803901.62404084</v>
      </c>
      <c r="Q37" s="26" t="n">
        <f aca="false">Q36+Q35</f>
        <v>194498.065117201</v>
      </c>
      <c r="R37" s="26" t="n">
        <f aca="false">R36+R35</f>
        <v>595308.005355411</v>
      </c>
      <c r="S37" s="26" t="n">
        <f aca="false">S36+S35</f>
        <v>807895.219242987</v>
      </c>
      <c r="T37" s="26" t="n">
        <f aca="false">T36+T35</f>
        <v>992298.879234761</v>
      </c>
      <c r="U37" s="26" t="n">
        <f aca="false">U36+U35</f>
        <v>1104974.98938347</v>
      </c>
      <c r="V37" s="26" t="n">
        <f aca="false">V36+V35</f>
        <v>1084791.29965946</v>
      </c>
      <c r="W37" s="26" t="n">
        <f aca="false">W36+W35</f>
        <v>1163983.55690094</v>
      </c>
      <c r="X37" s="26" t="n">
        <f aca="false">X36+X35</f>
        <v>968080.372108181</v>
      </c>
      <c r="Y37" s="26" t="n">
        <f aca="false">Y36+Y35</f>
        <v>1015386.6865817</v>
      </c>
      <c r="Z37" s="26" t="n">
        <f aca="false">Z36+Z35</f>
        <v>889387.838483229</v>
      </c>
    </row>
    <row r="38" customFormat="false" ht="15" hidden="false" customHeight="false" outlineLevel="0" collapsed="false">
      <c r="A38" s="5" t="s">
        <v>103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1" t="n">
        <f aca="false">Inputs!$B$28</f>
        <v>300000</v>
      </c>
      <c r="O38" s="11" t="n">
        <f aca="false">Inputs!$B$28</f>
        <v>300000</v>
      </c>
      <c r="P38" s="11" t="n">
        <f aca="false">Inputs!$B$28</f>
        <v>300000</v>
      </c>
      <c r="Q38" s="11" t="n">
        <f aca="false">Inputs!$B$28</f>
        <v>300000</v>
      </c>
      <c r="R38" s="11" t="n">
        <f aca="false">Inputs!$B$28</f>
        <v>300000</v>
      </c>
      <c r="S38" s="11" t="n">
        <f aca="false">Inputs!$B$28</f>
        <v>300000</v>
      </c>
      <c r="T38" s="11" t="n">
        <f aca="false">Inputs!$B$28</f>
        <v>300000</v>
      </c>
      <c r="U38" s="11" t="n">
        <f aca="false">Inputs!$B$28</f>
        <v>300000</v>
      </c>
      <c r="V38" s="11" t="n">
        <f aca="false">Inputs!$B$28</f>
        <v>300000</v>
      </c>
      <c r="W38" s="11" t="n">
        <f aca="false">Inputs!$B$28</f>
        <v>300000</v>
      </c>
      <c r="X38" s="11" t="n">
        <f aca="false">Inputs!$B$28</f>
        <v>300000</v>
      </c>
      <c r="Y38" s="11" t="n">
        <f aca="false">Inputs!$B$28</f>
        <v>300000</v>
      </c>
      <c r="Z38" s="11" t="n">
        <f aca="false">Inputs!$B$28</f>
        <v>300000</v>
      </c>
    </row>
    <row r="39" customFormat="false" ht="15" hidden="false" customHeight="false" outlineLevel="0" collapsed="false">
      <c r="A39" s="5" t="s">
        <v>104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1" t="n">
        <f aca="false">MAX(0,N38-N37)</f>
        <v>0</v>
      </c>
      <c r="O39" s="11" t="n">
        <f aca="false">MAX(0,O38-O37)</f>
        <v>0</v>
      </c>
      <c r="P39" s="11" t="n">
        <f aca="false">MAX(0,P38-P37)</f>
        <v>0</v>
      </c>
      <c r="Q39" s="11" t="n">
        <f aca="false">MAX(0,Q38-Q37)</f>
        <v>105501.934882799</v>
      </c>
      <c r="R39" s="11" t="n">
        <f aca="false">MAX(0,R38-R37)</f>
        <v>0</v>
      </c>
      <c r="S39" s="11" t="n">
        <f aca="false">MAX(0,S38-S37)</f>
        <v>0</v>
      </c>
      <c r="T39" s="11" t="n">
        <f aca="false">MAX(0,T38-T37)</f>
        <v>0</v>
      </c>
      <c r="U39" s="11" t="n">
        <f aca="false">MAX(0,U38-U37)</f>
        <v>0</v>
      </c>
      <c r="V39" s="11" t="n">
        <f aca="false">MAX(0,V38-V37)</f>
        <v>0</v>
      </c>
      <c r="W39" s="11" t="n">
        <f aca="false">MAX(0,W38-W37)</f>
        <v>0</v>
      </c>
      <c r="X39" s="11" t="n">
        <f aca="false">MAX(0,X38-X37)</f>
        <v>0</v>
      </c>
      <c r="Y39" s="11" t="n">
        <f aca="false">MAX(0,Y38-Y37)</f>
        <v>0</v>
      </c>
      <c r="Z39" s="11" t="n">
        <f aca="false">MAX(0,Z38-Z37)</f>
        <v>0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5" t="s">
        <v>105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1" t="n">
        <f aca="false">-N8*Inputs!$B$20</f>
        <v>-30164.4835010088</v>
      </c>
      <c r="O41" s="11" t="n">
        <f aca="false">-O8*Inputs!$B$20</f>
        <v>-45401.1509349654</v>
      </c>
      <c r="P41" s="11" t="n">
        <f aca="false">-P8*Inputs!$B$20</f>
        <v>-45401.1509349654</v>
      </c>
      <c r="Q41" s="11" t="n">
        <f aca="false">-Q8*Inputs!$B$20</f>
        <v>-45401.1509349654</v>
      </c>
      <c r="R41" s="11" t="n">
        <f aca="false">-R8*Inputs!$B$20</f>
        <v>-99450.1401432575</v>
      </c>
      <c r="S41" s="11" t="n">
        <f aca="false">-S8*Inputs!$B$20</f>
        <v>-44371.646378617</v>
      </c>
      <c r="T41" s="11" t="n">
        <f aca="false">-T8*Inputs!$B$20</f>
        <v>-44200.0622858922</v>
      </c>
      <c r="U41" s="11" t="n">
        <f aca="false">-U8*Inputs!$B$20</f>
        <v>-44200.0622858922</v>
      </c>
      <c r="V41" s="11" t="n">
        <f aca="false">-V8*Inputs!$B$20</f>
        <v>-44200.0622858922</v>
      </c>
      <c r="W41" s="11" t="n">
        <f aca="false">-W8*Inputs!$B$20</f>
        <v>-33544.6901276861</v>
      </c>
      <c r="X41" s="11" t="n">
        <f aca="false">-X8*Inputs!$B$20</f>
        <v>-19337.5272500779</v>
      </c>
      <c r="Y41" s="11" t="n">
        <f aca="false">-Y8*Inputs!$B$20</f>
        <v>-19337.5272500779</v>
      </c>
      <c r="Z41" s="11" t="n">
        <f aca="false">-Z8*Inputs!$B$20</f>
        <v>-19337.5272500779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13" t="s">
        <v>106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5" t="s">
        <v>107</v>
      </c>
      <c r="B44" s="26" t="n">
        <f aca="false">MIN(N37:Z37)</f>
        <v>194498.065117201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5" t="s">
        <v>108</v>
      </c>
      <c r="B45" s="27" t="n">
        <f aca="false">INDEX(N5:Z5,1,MATCH(B44,N37:Z37,0))</f>
        <v>46342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5" t="s">
        <v>109</v>
      </c>
      <c r="B46" s="26" t="n">
        <f aca="false">MAX(0,Inputs!$B$28-B44)</f>
        <v>105501.934882799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5" t="s">
        <v>110</v>
      </c>
      <c r="B47" s="26" t="n">
        <f aca="false">CEILING(B46,Inputs!$B$32)</f>
        <v>125000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5" t="s">
        <v>111</v>
      </c>
      <c r="B48" s="26" t="n">
        <f aca="false">Inputs!$B$29-Inputs!$B$30</f>
        <v>1100000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5" t="s">
        <v>112</v>
      </c>
      <c r="B49" s="28" t="str">
        <f aca="false">IF(B47&lt;=B48,"yes","no")</f>
        <v>yes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5" t="s">
        <v>113</v>
      </c>
      <c r="B50" s="26" t="n">
        <f aca="false">Z37</f>
        <v>889387.838483229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4" t="s">
        <v>114</v>
      </c>
      <c r="B1" s="4" t="s">
        <v>76</v>
      </c>
      <c r="C1" s="4" t="s">
        <v>115</v>
      </c>
      <c r="D1" s="4" t="s">
        <v>116</v>
      </c>
      <c r="E1" s="4" t="s">
        <v>117</v>
      </c>
      <c r="F1" s="4" t="s">
        <v>118</v>
      </c>
      <c r="G1" s="4" t="s">
        <v>119</v>
      </c>
      <c r="H1" s="4" t="s">
        <v>120</v>
      </c>
      <c r="I1" s="4" t="s">
        <v>121</v>
      </c>
      <c r="J1" s="4" t="s">
        <v>122</v>
      </c>
      <c r="K1" s="4" t="s">
        <v>123</v>
      </c>
      <c r="L1" s="4" t="s">
        <v>124</v>
      </c>
    </row>
    <row r="2" customFormat="false" ht="15" hidden="false" customHeight="false" outlineLevel="0" collapsed="false">
      <c r="A2" s="29" t="n">
        <v>46237</v>
      </c>
      <c r="B2" s="30" t="n">
        <f aca="false">INT((A2-Inputs!$B$5)/7)</f>
        <v>-12</v>
      </c>
      <c r="C2" s="30" t="n">
        <f aca="false">YEAR(A2)*100+MONTH(A2)</f>
        <v>202608</v>
      </c>
      <c r="D2" s="20" t="n">
        <f aca="false">IF(AND(A2&gt;=Inputs!$B$33,A2&lt;=Inputs!$B$34),INDEX(Inputs!$B$38:$B$49,11)*30*Inputs!$B$35/7,IF(MONTH(A2)=11,INDEX(Inputs!$B$38:$B$49,11)*30*(1-Inputs!$B$35)/23,INDEX(Inputs!$B$38:$B$49,MONTH(A2))))</f>
        <v>0.85</v>
      </c>
      <c r="E2" s="30" t="n">
        <f aca="false">IF(MONTH(A2)=1,(YEAR(A2)-1)*100+12,YEAR(A2)*100+MONTH(A2)-1)</f>
        <v>202607</v>
      </c>
      <c r="F2" s="20" t="n">
        <f aca="false">D2/SUMIFS($D$2:$D$176,$B$2:$B$176,B2)</f>
        <v>0.142857142857143</v>
      </c>
      <c r="G2" s="11" t="n">
        <f aca="false">INDEX(Forecast!$B$8:$Z$8,1,(B2)+13)*F2</f>
        <v>15247.5864216755</v>
      </c>
      <c r="H2" s="11" t="n">
        <f aca="false">IF(B2&gt;=0,(INDEX(Forecast!$B$8:$Z$8,1,(B2)+13)*Inputs!$B$20+Inputs!$B$22)/7,IF(C2=202610,(Inputs!$B$21+Inputs!$B$22)/7,0))</f>
        <v>0</v>
      </c>
      <c r="I2" s="11" t="n">
        <f aca="false">IF(DAY(A2)=22,SUMIFS($H$2:$H$176,$C$2:$C$176,E2),0)</f>
        <v>0</v>
      </c>
      <c r="J2" s="11" t="n">
        <f aca="false">IF(DAY(A2)=1,Inputs!$B$24,0)</f>
        <v>0</v>
      </c>
      <c r="K2" s="11" t="n">
        <f aca="false">IF(DAY(A2)=1,Inputs!$B$30*Inputs!$B$31/12,0)</f>
        <v>0</v>
      </c>
      <c r="L2" s="11" t="n">
        <f aca="false">IF(DAY(A2)=20,Inputs!$B$25*SUMIFS($G$2:$G$176,$C$2:$C$176,E2),0)</f>
        <v>0</v>
      </c>
    </row>
    <row r="3" customFormat="false" ht="15" hidden="false" customHeight="false" outlineLevel="0" collapsed="false">
      <c r="A3" s="29" t="n">
        <v>46238</v>
      </c>
      <c r="B3" s="30" t="n">
        <f aca="false">INT((A3-Inputs!$B$5)/7)</f>
        <v>-12</v>
      </c>
      <c r="C3" s="30" t="n">
        <f aca="false">YEAR(A3)*100+MONTH(A3)</f>
        <v>202608</v>
      </c>
      <c r="D3" s="20" t="n">
        <f aca="false">IF(AND(A3&gt;=Inputs!$B$33,A3&lt;=Inputs!$B$34),INDEX(Inputs!$B$38:$B$49,11)*30*Inputs!$B$35/7,IF(MONTH(A3)=11,INDEX(Inputs!$B$38:$B$49,11)*30*(1-Inputs!$B$35)/23,INDEX(Inputs!$B$38:$B$49,MONTH(A3))))</f>
        <v>0.85</v>
      </c>
      <c r="E3" s="30" t="n">
        <f aca="false">IF(MONTH(A3)=1,(YEAR(A3)-1)*100+12,YEAR(A3)*100+MONTH(A3)-1)</f>
        <v>202607</v>
      </c>
      <c r="F3" s="20" t="n">
        <f aca="false">D3/SUMIFS($D$2:$D$176,$B$2:$B$176,B3)</f>
        <v>0.142857142857143</v>
      </c>
      <c r="G3" s="11" t="n">
        <f aca="false">INDEX(Forecast!$B$8:$Z$8,1,(B3)+13)*F3</f>
        <v>15247.5864216755</v>
      </c>
      <c r="H3" s="11" t="n">
        <f aca="false">IF(B3&gt;=0,(INDEX(Forecast!$B$8:$Z$8,1,(B3)+13)*Inputs!$B$20+Inputs!$B$22)/7,IF(C3=202610,(Inputs!$B$21+Inputs!$B$22)/7,0))</f>
        <v>0</v>
      </c>
      <c r="I3" s="11" t="n">
        <f aca="false">IF(DAY(A3)=22,SUMIFS($H$2:$H$176,$C$2:$C$176,E3),0)</f>
        <v>0</v>
      </c>
      <c r="J3" s="11" t="n">
        <f aca="false">IF(DAY(A3)=1,Inputs!$B$24,0)</f>
        <v>0</v>
      </c>
      <c r="K3" s="11" t="n">
        <f aca="false">IF(DAY(A3)=1,Inputs!$B$30*Inputs!$B$31/12,0)</f>
        <v>0</v>
      </c>
      <c r="L3" s="11" t="n">
        <f aca="false">IF(DAY(A3)=20,Inputs!$B$25*SUMIFS($G$2:$G$176,$C$2:$C$176,E3),0)</f>
        <v>0</v>
      </c>
    </row>
    <row r="4" customFormat="false" ht="15" hidden="false" customHeight="false" outlineLevel="0" collapsed="false">
      <c r="A4" s="29" t="n">
        <v>46239</v>
      </c>
      <c r="B4" s="30" t="n">
        <f aca="false">INT((A4-Inputs!$B$5)/7)</f>
        <v>-12</v>
      </c>
      <c r="C4" s="30" t="n">
        <f aca="false">YEAR(A4)*100+MONTH(A4)</f>
        <v>202608</v>
      </c>
      <c r="D4" s="20" t="n">
        <f aca="false">IF(AND(A4&gt;=Inputs!$B$33,A4&lt;=Inputs!$B$34),INDEX(Inputs!$B$38:$B$49,11)*30*Inputs!$B$35/7,IF(MONTH(A4)=11,INDEX(Inputs!$B$38:$B$49,11)*30*(1-Inputs!$B$35)/23,INDEX(Inputs!$B$38:$B$49,MONTH(A4))))</f>
        <v>0.85</v>
      </c>
      <c r="E4" s="30" t="n">
        <f aca="false">IF(MONTH(A4)=1,(YEAR(A4)-1)*100+12,YEAR(A4)*100+MONTH(A4)-1)</f>
        <v>202607</v>
      </c>
      <c r="F4" s="20" t="n">
        <f aca="false">D4/SUMIFS($D$2:$D$176,$B$2:$B$176,B4)</f>
        <v>0.142857142857143</v>
      </c>
      <c r="G4" s="11" t="n">
        <f aca="false">INDEX(Forecast!$B$8:$Z$8,1,(B4)+13)*F4</f>
        <v>15247.5864216755</v>
      </c>
      <c r="H4" s="11" t="n">
        <f aca="false">IF(B4&gt;=0,(INDEX(Forecast!$B$8:$Z$8,1,(B4)+13)*Inputs!$B$20+Inputs!$B$22)/7,IF(C4=202610,(Inputs!$B$21+Inputs!$B$22)/7,0))</f>
        <v>0</v>
      </c>
      <c r="I4" s="11" t="n">
        <f aca="false">IF(DAY(A4)=22,SUMIFS($H$2:$H$176,$C$2:$C$176,E4),0)</f>
        <v>0</v>
      </c>
      <c r="J4" s="11" t="n">
        <f aca="false">IF(DAY(A4)=1,Inputs!$B$24,0)</f>
        <v>0</v>
      </c>
      <c r="K4" s="11" t="n">
        <f aca="false">IF(DAY(A4)=1,Inputs!$B$30*Inputs!$B$31/12,0)</f>
        <v>0</v>
      </c>
      <c r="L4" s="11" t="n">
        <f aca="false">IF(DAY(A4)=20,Inputs!$B$25*SUMIFS($G$2:$G$176,$C$2:$C$176,E4),0)</f>
        <v>0</v>
      </c>
    </row>
    <row r="5" customFormat="false" ht="15" hidden="false" customHeight="false" outlineLevel="0" collapsed="false">
      <c r="A5" s="29" t="n">
        <v>46240</v>
      </c>
      <c r="B5" s="30" t="n">
        <f aca="false">INT((A5-Inputs!$B$5)/7)</f>
        <v>-12</v>
      </c>
      <c r="C5" s="30" t="n">
        <f aca="false">YEAR(A5)*100+MONTH(A5)</f>
        <v>202608</v>
      </c>
      <c r="D5" s="20" t="n">
        <f aca="false">IF(AND(A5&gt;=Inputs!$B$33,A5&lt;=Inputs!$B$34),INDEX(Inputs!$B$38:$B$49,11)*30*Inputs!$B$35/7,IF(MONTH(A5)=11,INDEX(Inputs!$B$38:$B$49,11)*30*(1-Inputs!$B$35)/23,INDEX(Inputs!$B$38:$B$49,MONTH(A5))))</f>
        <v>0.85</v>
      </c>
      <c r="E5" s="30" t="n">
        <f aca="false">IF(MONTH(A5)=1,(YEAR(A5)-1)*100+12,YEAR(A5)*100+MONTH(A5)-1)</f>
        <v>202607</v>
      </c>
      <c r="F5" s="20" t="n">
        <f aca="false">D5/SUMIFS($D$2:$D$176,$B$2:$B$176,B5)</f>
        <v>0.142857142857143</v>
      </c>
      <c r="G5" s="11" t="n">
        <f aca="false">INDEX(Forecast!$B$8:$Z$8,1,(B5)+13)*F5</f>
        <v>15247.5864216755</v>
      </c>
      <c r="H5" s="11" t="n">
        <f aca="false">IF(B5&gt;=0,(INDEX(Forecast!$B$8:$Z$8,1,(B5)+13)*Inputs!$B$20+Inputs!$B$22)/7,IF(C5=202610,(Inputs!$B$21+Inputs!$B$22)/7,0))</f>
        <v>0</v>
      </c>
      <c r="I5" s="11" t="n">
        <f aca="false">IF(DAY(A5)=22,SUMIFS($H$2:$H$176,$C$2:$C$176,E5),0)</f>
        <v>0</v>
      </c>
      <c r="J5" s="11" t="n">
        <f aca="false">IF(DAY(A5)=1,Inputs!$B$24,0)</f>
        <v>0</v>
      </c>
      <c r="K5" s="11" t="n">
        <f aca="false">IF(DAY(A5)=1,Inputs!$B$30*Inputs!$B$31/12,0)</f>
        <v>0</v>
      </c>
      <c r="L5" s="11" t="n">
        <f aca="false">IF(DAY(A5)=20,Inputs!$B$25*SUMIFS($G$2:$G$176,$C$2:$C$176,E5),0)</f>
        <v>0</v>
      </c>
    </row>
    <row r="6" customFormat="false" ht="15" hidden="false" customHeight="false" outlineLevel="0" collapsed="false">
      <c r="A6" s="29" t="n">
        <v>46241</v>
      </c>
      <c r="B6" s="30" t="n">
        <f aca="false">INT((A6-Inputs!$B$5)/7)</f>
        <v>-12</v>
      </c>
      <c r="C6" s="30" t="n">
        <f aca="false">YEAR(A6)*100+MONTH(A6)</f>
        <v>202608</v>
      </c>
      <c r="D6" s="20" t="n">
        <f aca="false">IF(AND(A6&gt;=Inputs!$B$33,A6&lt;=Inputs!$B$34),INDEX(Inputs!$B$38:$B$49,11)*30*Inputs!$B$35/7,IF(MONTH(A6)=11,INDEX(Inputs!$B$38:$B$49,11)*30*(1-Inputs!$B$35)/23,INDEX(Inputs!$B$38:$B$49,MONTH(A6))))</f>
        <v>0.85</v>
      </c>
      <c r="E6" s="30" t="n">
        <f aca="false">IF(MONTH(A6)=1,(YEAR(A6)-1)*100+12,YEAR(A6)*100+MONTH(A6)-1)</f>
        <v>202607</v>
      </c>
      <c r="F6" s="20" t="n">
        <f aca="false">D6/SUMIFS($D$2:$D$176,$B$2:$B$176,B6)</f>
        <v>0.142857142857143</v>
      </c>
      <c r="G6" s="11" t="n">
        <f aca="false">INDEX(Forecast!$B$8:$Z$8,1,(B6)+13)*F6</f>
        <v>15247.5864216755</v>
      </c>
      <c r="H6" s="11" t="n">
        <f aca="false">IF(B6&gt;=0,(INDEX(Forecast!$B$8:$Z$8,1,(B6)+13)*Inputs!$B$20+Inputs!$B$22)/7,IF(C6=202610,(Inputs!$B$21+Inputs!$B$22)/7,0))</f>
        <v>0</v>
      </c>
      <c r="I6" s="11" t="n">
        <f aca="false">IF(DAY(A6)=22,SUMIFS($H$2:$H$176,$C$2:$C$176,E6),0)</f>
        <v>0</v>
      </c>
      <c r="J6" s="11" t="n">
        <f aca="false">IF(DAY(A6)=1,Inputs!$B$24,0)</f>
        <v>0</v>
      </c>
      <c r="K6" s="11" t="n">
        <f aca="false">IF(DAY(A6)=1,Inputs!$B$30*Inputs!$B$31/12,0)</f>
        <v>0</v>
      </c>
      <c r="L6" s="11" t="n">
        <f aca="false">IF(DAY(A6)=20,Inputs!$B$25*SUMIFS($G$2:$G$176,$C$2:$C$176,E6),0)</f>
        <v>0</v>
      </c>
    </row>
    <row r="7" customFormat="false" ht="15" hidden="false" customHeight="false" outlineLevel="0" collapsed="false">
      <c r="A7" s="29" t="n">
        <v>46242</v>
      </c>
      <c r="B7" s="30" t="n">
        <f aca="false">INT((A7-Inputs!$B$5)/7)</f>
        <v>-12</v>
      </c>
      <c r="C7" s="30" t="n">
        <f aca="false">YEAR(A7)*100+MONTH(A7)</f>
        <v>202608</v>
      </c>
      <c r="D7" s="20" t="n">
        <f aca="false">IF(AND(A7&gt;=Inputs!$B$33,A7&lt;=Inputs!$B$34),INDEX(Inputs!$B$38:$B$49,11)*30*Inputs!$B$35/7,IF(MONTH(A7)=11,INDEX(Inputs!$B$38:$B$49,11)*30*(1-Inputs!$B$35)/23,INDEX(Inputs!$B$38:$B$49,MONTH(A7))))</f>
        <v>0.85</v>
      </c>
      <c r="E7" s="30" t="n">
        <f aca="false">IF(MONTH(A7)=1,(YEAR(A7)-1)*100+12,YEAR(A7)*100+MONTH(A7)-1)</f>
        <v>202607</v>
      </c>
      <c r="F7" s="20" t="n">
        <f aca="false">D7/SUMIFS($D$2:$D$176,$B$2:$B$176,B7)</f>
        <v>0.142857142857143</v>
      </c>
      <c r="G7" s="11" t="n">
        <f aca="false">INDEX(Forecast!$B$8:$Z$8,1,(B7)+13)*F7</f>
        <v>15247.5864216755</v>
      </c>
      <c r="H7" s="11" t="n">
        <f aca="false">IF(B7&gt;=0,(INDEX(Forecast!$B$8:$Z$8,1,(B7)+13)*Inputs!$B$20+Inputs!$B$22)/7,IF(C7=202610,(Inputs!$B$21+Inputs!$B$22)/7,0))</f>
        <v>0</v>
      </c>
      <c r="I7" s="11" t="n">
        <f aca="false">IF(DAY(A7)=22,SUMIFS($H$2:$H$176,$C$2:$C$176,E7),0)</f>
        <v>0</v>
      </c>
      <c r="J7" s="11" t="n">
        <f aca="false">IF(DAY(A7)=1,Inputs!$B$24,0)</f>
        <v>0</v>
      </c>
      <c r="K7" s="11" t="n">
        <f aca="false">IF(DAY(A7)=1,Inputs!$B$30*Inputs!$B$31/12,0)</f>
        <v>0</v>
      </c>
      <c r="L7" s="11" t="n">
        <f aca="false">IF(DAY(A7)=20,Inputs!$B$25*SUMIFS($G$2:$G$176,$C$2:$C$176,E7),0)</f>
        <v>0</v>
      </c>
    </row>
    <row r="8" customFormat="false" ht="15" hidden="false" customHeight="false" outlineLevel="0" collapsed="false">
      <c r="A8" s="29" t="n">
        <v>46243</v>
      </c>
      <c r="B8" s="30" t="n">
        <f aca="false">INT((A8-Inputs!$B$5)/7)</f>
        <v>-12</v>
      </c>
      <c r="C8" s="30" t="n">
        <f aca="false">YEAR(A8)*100+MONTH(A8)</f>
        <v>202608</v>
      </c>
      <c r="D8" s="20" t="n">
        <f aca="false">IF(AND(A8&gt;=Inputs!$B$33,A8&lt;=Inputs!$B$34),INDEX(Inputs!$B$38:$B$49,11)*30*Inputs!$B$35/7,IF(MONTH(A8)=11,INDEX(Inputs!$B$38:$B$49,11)*30*(1-Inputs!$B$35)/23,INDEX(Inputs!$B$38:$B$49,MONTH(A8))))</f>
        <v>0.85</v>
      </c>
      <c r="E8" s="30" t="n">
        <f aca="false">IF(MONTH(A8)=1,(YEAR(A8)-1)*100+12,YEAR(A8)*100+MONTH(A8)-1)</f>
        <v>202607</v>
      </c>
      <c r="F8" s="20" t="n">
        <f aca="false">D8/SUMIFS($D$2:$D$176,$B$2:$B$176,B8)</f>
        <v>0.142857142857143</v>
      </c>
      <c r="G8" s="11" t="n">
        <f aca="false">INDEX(Forecast!$B$8:$Z$8,1,(B8)+13)*F8</f>
        <v>15247.5864216755</v>
      </c>
      <c r="H8" s="11" t="n">
        <f aca="false">IF(B8&gt;=0,(INDEX(Forecast!$B$8:$Z$8,1,(B8)+13)*Inputs!$B$20+Inputs!$B$22)/7,IF(C8=202610,(Inputs!$B$21+Inputs!$B$22)/7,0))</f>
        <v>0</v>
      </c>
      <c r="I8" s="11" t="n">
        <f aca="false">IF(DAY(A8)=22,SUMIFS($H$2:$H$176,$C$2:$C$176,E8),0)</f>
        <v>0</v>
      </c>
      <c r="J8" s="11" t="n">
        <f aca="false">IF(DAY(A8)=1,Inputs!$B$24,0)</f>
        <v>0</v>
      </c>
      <c r="K8" s="11" t="n">
        <f aca="false">IF(DAY(A8)=1,Inputs!$B$30*Inputs!$B$31/12,0)</f>
        <v>0</v>
      </c>
      <c r="L8" s="11" t="n">
        <f aca="false">IF(DAY(A8)=20,Inputs!$B$25*SUMIFS($G$2:$G$176,$C$2:$C$176,E8),0)</f>
        <v>0</v>
      </c>
    </row>
    <row r="9" customFormat="false" ht="15" hidden="false" customHeight="false" outlineLevel="0" collapsed="false">
      <c r="A9" s="29" t="n">
        <v>46244</v>
      </c>
      <c r="B9" s="30" t="n">
        <f aca="false">INT((A9-Inputs!$B$5)/7)</f>
        <v>-11</v>
      </c>
      <c r="C9" s="30" t="n">
        <f aca="false">YEAR(A9)*100+MONTH(A9)</f>
        <v>202608</v>
      </c>
      <c r="D9" s="20" t="n">
        <f aca="false">IF(AND(A9&gt;=Inputs!$B$33,A9&lt;=Inputs!$B$34),INDEX(Inputs!$B$38:$B$49,11)*30*Inputs!$B$35/7,IF(MONTH(A9)=11,INDEX(Inputs!$B$38:$B$49,11)*30*(1-Inputs!$B$35)/23,INDEX(Inputs!$B$38:$B$49,MONTH(A9))))</f>
        <v>0.85</v>
      </c>
      <c r="E9" s="30" t="n">
        <f aca="false">IF(MONTH(A9)=1,(YEAR(A9)-1)*100+12,YEAR(A9)*100+MONTH(A9)-1)</f>
        <v>202607</v>
      </c>
      <c r="F9" s="20" t="n">
        <f aca="false">D9/SUMIFS($D$2:$D$176,$B$2:$B$176,B9)</f>
        <v>0.142857142857143</v>
      </c>
      <c r="G9" s="11" t="n">
        <f aca="false">INDEX(Forecast!$B$8:$Z$8,1,(B9)+13)*F9</f>
        <v>15247.5864216755</v>
      </c>
      <c r="H9" s="11" t="n">
        <f aca="false">IF(B9&gt;=0,(INDEX(Forecast!$B$8:$Z$8,1,(B9)+13)*Inputs!$B$20+Inputs!$B$22)/7,IF(C9=202610,(Inputs!$B$21+Inputs!$B$22)/7,0))</f>
        <v>0</v>
      </c>
      <c r="I9" s="11" t="n">
        <f aca="false">IF(DAY(A9)=22,SUMIFS($H$2:$H$176,$C$2:$C$176,E9),0)</f>
        <v>0</v>
      </c>
      <c r="J9" s="11" t="n">
        <f aca="false">IF(DAY(A9)=1,Inputs!$B$24,0)</f>
        <v>0</v>
      </c>
      <c r="K9" s="11" t="n">
        <f aca="false">IF(DAY(A9)=1,Inputs!$B$30*Inputs!$B$31/12,0)</f>
        <v>0</v>
      </c>
      <c r="L9" s="11" t="n">
        <f aca="false">IF(DAY(A9)=20,Inputs!$B$25*SUMIFS($G$2:$G$176,$C$2:$C$176,E9),0)</f>
        <v>0</v>
      </c>
    </row>
    <row r="10" customFormat="false" ht="15" hidden="false" customHeight="false" outlineLevel="0" collapsed="false">
      <c r="A10" s="29" t="n">
        <v>46245</v>
      </c>
      <c r="B10" s="30" t="n">
        <f aca="false">INT((A10-Inputs!$B$5)/7)</f>
        <v>-11</v>
      </c>
      <c r="C10" s="30" t="n">
        <f aca="false">YEAR(A10)*100+MONTH(A10)</f>
        <v>202608</v>
      </c>
      <c r="D10" s="20" t="n">
        <f aca="false">IF(AND(A10&gt;=Inputs!$B$33,A10&lt;=Inputs!$B$34),INDEX(Inputs!$B$38:$B$49,11)*30*Inputs!$B$35/7,IF(MONTH(A10)=11,INDEX(Inputs!$B$38:$B$49,11)*30*(1-Inputs!$B$35)/23,INDEX(Inputs!$B$38:$B$49,MONTH(A10))))</f>
        <v>0.85</v>
      </c>
      <c r="E10" s="30" t="n">
        <f aca="false">IF(MONTH(A10)=1,(YEAR(A10)-1)*100+12,YEAR(A10)*100+MONTH(A10)-1)</f>
        <v>202607</v>
      </c>
      <c r="F10" s="20" t="n">
        <f aca="false">D10/SUMIFS($D$2:$D$176,$B$2:$B$176,B10)</f>
        <v>0.142857142857143</v>
      </c>
      <c r="G10" s="11" t="n">
        <f aca="false">INDEX(Forecast!$B$8:$Z$8,1,(B10)+13)*F10</f>
        <v>15247.5864216755</v>
      </c>
      <c r="H10" s="11" t="n">
        <f aca="false">IF(B10&gt;=0,(INDEX(Forecast!$B$8:$Z$8,1,(B10)+13)*Inputs!$B$20+Inputs!$B$22)/7,IF(C10=202610,(Inputs!$B$21+Inputs!$B$22)/7,0))</f>
        <v>0</v>
      </c>
      <c r="I10" s="11" t="n">
        <f aca="false">IF(DAY(A10)=22,SUMIFS($H$2:$H$176,$C$2:$C$176,E10),0)</f>
        <v>0</v>
      </c>
      <c r="J10" s="11" t="n">
        <f aca="false">IF(DAY(A10)=1,Inputs!$B$24,0)</f>
        <v>0</v>
      </c>
      <c r="K10" s="11" t="n">
        <f aca="false">IF(DAY(A10)=1,Inputs!$B$30*Inputs!$B$31/12,0)</f>
        <v>0</v>
      </c>
      <c r="L10" s="11" t="n">
        <f aca="false">IF(DAY(A10)=20,Inputs!$B$25*SUMIFS($G$2:$G$176,$C$2:$C$176,E10),0)</f>
        <v>0</v>
      </c>
    </row>
    <row r="11" customFormat="false" ht="15" hidden="false" customHeight="false" outlineLevel="0" collapsed="false">
      <c r="A11" s="29" t="n">
        <v>46246</v>
      </c>
      <c r="B11" s="30" t="n">
        <f aca="false">INT((A11-Inputs!$B$5)/7)</f>
        <v>-11</v>
      </c>
      <c r="C11" s="30" t="n">
        <f aca="false">YEAR(A11)*100+MONTH(A11)</f>
        <v>202608</v>
      </c>
      <c r="D11" s="20" t="n">
        <f aca="false">IF(AND(A11&gt;=Inputs!$B$33,A11&lt;=Inputs!$B$34),INDEX(Inputs!$B$38:$B$49,11)*30*Inputs!$B$35/7,IF(MONTH(A11)=11,INDEX(Inputs!$B$38:$B$49,11)*30*(1-Inputs!$B$35)/23,INDEX(Inputs!$B$38:$B$49,MONTH(A11))))</f>
        <v>0.85</v>
      </c>
      <c r="E11" s="30" t="n">
        <f aca="false">IF(MONTH(A11)=1,(YEAR(A11)-1)*100+12,YEAR(A11)*100+MONTH(A11)-1)</f>
        <v>202607</v>
      </c>
      <c r="F11" s="20" t="n">
        <f aca="false">D11/SUMIFS($D$2:$D$176,$B$2:$B$176,B11)</f>
        <v>0.142857142857143</v>
      </c>
      <c r="G11" s="11" t="n">
        <f aca="false">INDEX(Forecast!$B$8:$Z$8,1,(B11)+13)*F11</f>
        <v>15247.5864216755</v>
      </c>
      <c r="H11" s="11" t="n">
        <f aca="false">IF(B11&gt;=0,(INDEX(Forecast!$B$8:$Z$8,1,(B11)+13)*Inputs!$B$20+Inputs!$B$22)/7,IF(C11=202610,(Inputs!$B$21+Inputs!$B$22)/7,0))</f>
        <v>0</v>
      </c>
      <c r="I11" s="11" t="n">
        <f aca="false">IF(DAY(A11)=22,SUMIFS($H$2:$H$176,$C$2:$C$176,E11),0)</f>
        <v>0</v>
      </c>
      <c r="J11" s="11" t="n">
        <f aca="false">IF(DAY(A11)=1,Inputs!$B$24,0)</f>
        <v>0</v>
      </c>
      <c r="K11" s="11" t="n">
        <f aca="false">IF(DAY(A11)=1,Inputs!$B$30*Inputs!$B$31/12,0)</f>
        <v>0</v>
      </c>
      <c r="L11" s="11" t="n">
        <f aca="false">IF(DAY(A11)=20,Inputs!$B$25*SUMIFS($G$2:$G$176,$C$2:$C$176,E11),0)</f>
        <v>0</v>
      </c>
    </row>
    <row r="12" customFormat="false" ht="15" hidden="false" customHeight="false" outlineLevel="0" collapsed="false">
      <c r="A12" s="29" t="n">
        <v>46247</v>
      </c>
      <c r="B12" s="30" t="n">
        <f aca="false">INT((A12-Inputs!$B$5)/7)</f>
        <v>-11</v>
      </c>
      <c r="C12" s="30" t="n">
        <f aca="false">YEAR(A12)*100+MONTH(A12)</f>
        <v>202608</v>
      </c>
      <c r="D12" s="20" t="n">
        <f aca="false">IF(AND(A12&gt;=Inputs!$B$33,A12&lt;=Inputs!$B$34),INDEX(Inputs!$B$38:$B$49,11)*30*Inputs!$B$35/7,IF(MONTH(A12)=11,INDEX(Inputs!$B$38:$B$49,11)*30*(1-Inputs!$B$35)/23,INDEX(Inputs!$B$38:$B$49,MONTH(A12))))</f>
        <v>0.85</v>
      </c>
      <c r="E12" s="30" t="n">
        <f aca="false">IF(MONTH(A12)=1,(YEAR(A12)-1)*100+12,YEAR(A12)*100+MONTH(A12)-1)</f>
        <v>202607</v>
      </c>
      <c r="F12" s="20" t="n">
        <f aca="false">D12/SUMIFS($D$2:$D$176,$B$2:$B$176,B12)</f>
        <v>0.142857142857143</v>
      </c>
      <c r="G12" s="11" t="n">
        <f aca="false">INDEX(Forecast!$B$8:$Z$8,1,(B12)+13)*F12</f>
        <v>15247.5864216755</v>
      </c>
      <c r="H12" s="11" t="n">
        <f aca="false">IF(B12&gt;=0,(INDEX(Forecast!$B$8:$Z$8,1,(B12)+13)*Inputs!$B$20+Inputs!$B$22)/7,IF(C12=202610,(Inputs!$B$21+Inputs!$B$22)/7,0))</f>
        <v>0</v>
      </c>
      <c r="I12" s="11" t="n">
        <f aca="false">IF(DAY(A12)=22,SUMIFS($H$2:$H$176,$C$2:$C$176,E12),0)</f>
        <v>0</v>
      </c>
      <c r="J12" s="11" t="n">
        <f aca="false">IF(DAY(A12)=1,Inputs!$B$24,0)</f>
        <v>0</v>
      </c>
      <c r="K12" s="11" t="n">
        <f aca="false">IF(DAY(A12)=1,Inputs!$B$30*Inputs!$B$31/12,0)</f>
        <v>0</v>
      </c>
      <c r="L12" s="11" t="n">
        <f aca="false">IF(DAY(A12)=20,Inputs!$B$25*SUMIFS($G$2:$G$176,$C$2:$C$176,E12),0)</f>
        <v>0</v>
      </c>
    </row>
    <row r="13" customFormat="false" ht="15" hidden="false" customHeight="false" outlineLevel="0" collapsed="false">
      <c r="A13" s="29" t="n">
        <v>46248</v>
      </c>
      <c r="B13" s="30" t="n">
        <f aca="false">INT((A13-Inputs!$B$5)/7)</f>
        <v>-11</v>
      </c>
      <c r="C13" s="30" t="n">
        <f aca="false">YEAR(A13)*100+MONTH(A13)</f>
        <v>202608</v>
      </c>
      <c r="D13" s="20" t="n">
        <f aca="false">IF(AND(A13&gt;=Inputs!$B$33,A13&lt;=Inputs!$B$34),INDEX(Inputs!$B$38:$B$49,11)*30*Inputs!$B$35/7,IF(MONTH(A13)=11,INDEX(Inputs!$B$38:$B$49,11)*30*(1-Inputs!$B$35)/23,INDEX(Inputs!$B$38:$B$49,MONTH(A13))))</f>
        <v>0.85</v>
      </c>
      <c r="E13" s="30" t="n">
        <f aca="false">IF(MONTH(A13)=1,(YEAR(A13)-1)*100+12,YEAR(A13)*100+MONTH(A13)-1)</f>
        <v>202607</v>
      </c>
      <c r="F13" s="20" t="n">
        <f aca="false">D13/SUMIFS($D$2:$D$176,$B$2:$B$176,B13)</f>
        <v>0.142857142857143</v>
      </c>
      <c r="G13" s="11" t="n">
        <f aca="false">INDEX(Forecast!$B$8:$Z$8,1,(B13)+13)*F13</f>
        <v>15247.5864216755</v>
      </c>
      <c r="H13" s="11" t="n">
        <f aca="false">IF(B13&gt;=0,(INDEX(Forecast!$B$8:$Z$8,1,(B13)+13)*Inputs!$B$20+Inputs!$B$22)/7,IF(C13=202610,(Inputs!$B$21+Inputs!$B$22)/7,0))</f>
        <v>0</v>
      </c>
      <c r="I13" s="11" t="n">
        <f aca="false">IF(DAY(A13)=22,SUMIFS($H$2:$H$176,$C$2:$C$176,E13),0)</f>
        <v>0</v>
      </c>
      <c r="J13" s="11" t="n">
        <f aca="false">IF(DAY(A13)=1,Inputs!$B$24,0)</f>
        <v>0</v>
      </c>
      <c r="K13" s="11" t="n">
        <f aca="false">IF(DAY(A13)=1,Inputs!$B$30*Inputs!$B$31/12,0)</f>
        <v>0</v>
      </c>
      <c r="L13" s="11" t="n">
        <f aca="false">IF(DAY(A13)=20,Inputs!$B$25*SUMIFS($G$2:$G$176,$C$2:$C$176,E13),0)</f>
        <v>0</v>
      </c>
    </row>
    <row r="14" customFormat="false" ht="15" hidden="false" customHeight="false" outlineLevel="0" collapsed="false">
      <c r="A14" s="29" t="n">
        <v>46249</v>
      </c>
      <c r="B14" s="30" t="n">
        <f aca="false">INT((A14-Inputs!$B$5)/7)</f>
        <v>-11</v>
      </c>
      <c r="C14" s="30" t="n">
        <f aca="false">YEAR(A14)*100+MONTH(A14)</f>
        <v>202608</v>
      </c>
      <c r="D14" s="20" t="n">
        <f aca="false">IF(AND(A14&gt;=Inputs!$B$33,A14&lt;=Inputs!$B$34),INDEX(Inputs!$B$38:$B$49,11)*30*Inputs!$B$35/7,IF(MONTH(A14)=11,INDEX(Inputs!$B$38:$B$49,11)*30*(1-Inputs!$B$35)/23,INDEX(Inputs!$B$38:$B$49,MONTH(A14))))</f>
        <v>0.85</v>
      </c>
      <c r="E14" s="30" t="n">
        <f aca="false">IF(MONTH(A14)=1,(YEAR(A14)-1)*100+12,YEAR(A14)*100+MONTH(A14)-1)</f>
        <v>202607</v>
      </c>
      <c r="F14" s="20" t="n">
        <f aca="false">D14/SUMIFS($D$2:$D$176,$B$2:$B$176,B14)</f>
        <v>0.142857142857143</v>
      </c>
      <c r="G14" s="11" t="n">
        <f aca="false">INDEX(Forecast!$B$8:$Z$8,1,(B14)+13)*F14</f>
        <v>15247.5864216755</v>
      </c>
      <c r="H14" s="11" t="n">
        <f aca="false">IF(B14&gt;=0,(INDEX(Forecast!$B$8:$Z$8,1,(B14)+13)*Inputs!$B$20+Inputs!$B$22)/7,IF(C14=202610,(Inputs!$B$21+Inputs!$B$22)/7,0))</f>
        <v>0</v>
      </c>
      <c r="I14" s="11" t="n">
        <f aca="false">IF(DAY(A14)=22,SUMIFS($H$2:$H$176,$C$2:$C$176,E14),0)</f>
        <v>0</v>
      </c>
      <c r="J14" s="11" t="n">
        <f aca="false">IF(DAY(A14)=1,Inputs!$B$24,0)</f>
        <v>0</v>
      </c>
      <c r="K14" s="11" t="n">
        <f aca="false">IF(DAY(A14)=1,Inputs!$B$30*Inputs!$B$31/12,0)</f>
        <v>0</v>
      </c>
      <c r="L14" s="11" t="n">
        <f aca="false">IF(DAY(A14)=20,Inputs!$B$25*SUMIFS($G$2:$G$176,$C$2:$C$176,E14),0)</f>
        <v>0</v>
      </c>
    </row>
    <row r="15" customFormat="false" ht="15" hidden="false" customHeight="false" outlineLevel="0" collapsed="false">
      <c r="A15" s="29" t="n">
        <v>46250</v>
      </c>
      <c r="B15" s="30" t="n">
        <f aca="false">INT((A15-Inputs!$B$5)/7)</f>
        <v>-11</v>
      </c>
      <c r="C15" s="30" t="n">
        <f aca="false">YEAR(A15)*100+MONTH(A15)</f>
        <v>202608</v>
      </c>
      <c r="D15" s="20" t="n">
        <f aca="false">IF(AND(A15&gt;=Inputs!$B$33,A15&lt;=Inputs!$B$34),INDEX(Inputs!$B$38:$B$49,11)*30*Inputs!$B$35/7,IF(MONTH(A15)=11,INDEX(Inputs!$B$38:$B$49,11)*30*(1-Inputs!$B$35)/23,INDEX(Inputs!$B$38:$B$49,MONTH(A15))))</f>
        <v>0.85</v>
      </c>
      <c r="E15" s="30" t="n">
        <f aca="false">IF(MONTH(A15)=1,(YEAR(A15)-1)*100+12,YEAR(A15)*100+MONTH(A15)-1)</f>
        <v>202607</v>
      </c>
      <c r="F15" s="20" t="n">
        <f aca="false">D15/SUMIFS($D$2:$D$176,$B$2:$B$176,B15)</f>
        <v>0.142857142857143</v>
      </c>
      <c r="G15" s="11" t="n">
        <f aca="false">INDEX(Forecast!$B$8:$Z$8,1,(B15)+13)*F15</f>
        <v>15247.5864216755</v>
      </c>
      <c r="H15" s="11" t="n">
        <f aca="false">IF(B15&gt;=0,(INDEX(Forecast!$B$8:$Z$8,1,(B15)+13)*Inputs!$B$20+Inputs!$B$22)/7,IF(C15=202610,(Inputs!$B$21+Inputs!$B$22)/7,0))</f>
        <v>0</v>
      </c>
      <c r="I15" s="11" t="n">
        <f aca="false">IF(DAY(A15)=22,SUMIFS($H$2:$H$176,$C$2:$C$176,E15),0)</f>
        <v>0</v>
      </c>
      <c r="J15" s="11" t="n">
        <f aca="false">IF(DAY(A15)=1,Inputs!$B$24,0)</f>
        <v>0</v>
      </c>
      <c r="K15" s="11" t="n">
        <f aca="false">IF(DAY(A15)=1,Inputs!$B$30*Inputs!$B$31/12,0)</f>
        <v>0</v>
      </c>
      <c r="L15" s="11" t="n">
        <f aca="false">IF(DAY(A15)=20,Inputs!$B$25*SUMIFS($G$2:$G$176,$C$2:$C$176,E15),0)</f>
        <v>0</v>
      </c>
    </row>
    <row r="16" customFormat="false" ht="15" hidden="false" customHeight="false" outlineLevel="0" collapsed="false">
      <c r="A16" s="29" t="n">
        <v>46251</v>
      </c>
      <c r="B16" s="30" t="n">
        <f aca="false">INT((A16-Inputs!$B$5)/7)</f>
        <v>-10</v>
      </c>
      <c r="C16" s="30" t="n">
        <f aca="false">YEAR(A16)*100+MONTH(A16)</f>
        <v>202608</v>
      </c>
      <c r="D16" s="20" t="n">
        <f aca="false">IF(AND(A16&gt;=Inputs!$B$33,A16&lt;=Inputs!$B$34),INDEX(Inputs!$B$38:$B$49,11)*30*Inputs!$B$35/7,IF(MONTH(A16)=11,INDEX(Inputs!$B$38:$B$49,11)*30*(1-Inputs!$B$35)/23,INDEX(Inputs!$B$38:$B$49,MONTH(A16))))</f>
        <v>0.85</v>
      </c>
      <c r="E16" s="30" t="n">
        <f aca="false">IF(MONTH(A16)=1,(YEAR(A16)-1)*100+12,YEAR(A16)*100+MONTH(A16)-1)</f>
        <v>202607</v>
      </c>
      <c r="F16" s="20" t="n">
        <f aca="false">D16/SUMIFS($D$2:$D$176,$B$2:$B$176,B16)</f>
        <v>0.142857142857143</v>
      </c>
      <c r="G16" s="11" t="n">
        <f aca="false">INDEX(Forecast!$B$8:$Z$8,1,(B16)+13)*F16</f>
        <v>15247.5864216755</v>
      </c>
      <c r="H16" s="11" t="n">
        <f aca="false">IF(B16&gt;=0,(INDEX(Forecast!$B$8:$Z$8,1,(B16)+13)*Inputs!$B$20+Inputs!$B$22)/7,IF(C16=202610,(Inputs!$B$21+Inputs!$B$22)/7,0))</f>
        <v>0</v>
      </c>
      <c r="I16" s="11" t="n">
        <f aca="false">IF(DAY(A16)=22,SUMIFS($H$2:$H$176,$C$2:$C$176,E16),0)</f>
        <v>0</v>
      </c>
      <c r="J16" s="11" t="n">
        <f aca="false">IF(DAY(A16)=1,Inputs!$B$24,0)</f>
        <v>0</v>
      </c>
      <c r="K16" s="11" t="n">
        <f aca="false">IF(DAY(A16)=1,Inputs!$B$30*Inputs!$B$31/12,0)</f>
        <v>0</v>
      </c>
      <c r="L16" s="11" t="n">
        <f aca="false">IF(DAY(A16)=20,Inputs!$B$25*SUMIFS($G$2:$G$176,$C$2:$C$176,E16),0)</f>
        <v>0</v>
      </c>
    </row>
    <row r="17" customFormat="false" ht="15" hidden="false" customHeight="false" outlineLevel="0" collapsed="false">
      <c r="A17" s="29" t="n">
        <v>46252</v>
      </c>
      <c r="B17" s="30" t="n">
        <f aca="false">INT((A17-Inputs!$B$5)/7)</f>
        <v>-10</v>
      </c>
      <c r="C17" s="30" t="n">
        <f aca="false">YEAR(A17)*100+MONTH(A17)</f>
        <v>202608</v>
      </c>
      <c r="D17" s="20" t="n">
        <f aca="false">IF(AND(A17&gt;=Inputs!$B$33,A17&lt;=Inputs!$B$34),INDEX(Inputs!$B$38:$B$49,11)*30*Inputs!$B$35/7,IF(MONTH(A17)=11,INDEX(Inputs!$B$38:$B$49,11)*30*(1-Inputs!$B$35)/23,INDEX(Inputs!$B$38:$B$49,MONTH(A17))))</f>
        <v>0.85</v>
      </c>
      <c r="E17" s="30" t="n">
        <f aca="false">IF(MONTH(A17)=1,(YEAR(A17)-1)*100+12,YEAR(A17)*100+MONTH(A17)-1)</f>
        <v>202607</v>
      </c>
      <c r="F17" s="20" t="n">
        <f aca="false">D17/SUMIFS($D$2:$D$176,$B$2:$B$176,B17)</f>
        <v>0.142857142857143</v>
      </c>
      <c r="G17" s="11" t="n">
        <f aca="false">INDEX(Forecast!$B$8:$Z$8,1,(B17)+13)*F17</f>
        <v>15247.5864216755</v>
      </c>
      <c r="H17" s="11" t="n">
        <f aca="false">IF(B17&gt;=0,(INDEX(Forecast!$B$8:$Z$8,1,(B17)+13)*Inputs!$B$20+Inputs!$B$22)/7,IF(C17=202610,(Inputs!$B$21+Inputs!$B$22)/7,0))</f>
        <v>0</v>
      </c>
      <c r="I17" s="11" t="n">
        <f aca="false">IF(DAY(A17)=22,SUMIFS($H$2:$H$176,$C$2:$C$176,E17),0)</f>
        <v>0</v>
      </c>
      <c r="J17" s="11" t="n">
        <f aca="false">IF(DAY(A17)=1,Inputs!$B$24,0)</f>
        <v>0</v>
      </c>
      <c r="K17" s="11" t="n">
        <f aca="false">IF(DAY(A17)=1,Inputs!$B$30*Inputs!$B$31/12,0)</f>
        <v>0</v>
      </c>
      <c r="L17" s="11" t="n">
        <f aca="false">IF(DAY(A17)=20,Inputs!$B$25*SUMIFS($G$2:$G$176,$C$2:$C$176,E17),0)</f>
        <v>0</v>
      </c>
    </row>
    <row r="18" customFormat="false" ht="15" hidden="false" customHeight="false" outlineLevel="0" collapsed="false">
      <c r="A18" s="29" t="n">
        <v>46253</v>
      </c>
      <c r="B18" s="30" t="n">
        <f aca="false">INT((A18-Inputs!$B$5)/7)</f>
        <v>-10</v>
      </c>
      <c r="C18" s="30" t="n">
        <f aca="false">YEAR(A18)*100+MONTH(A18)</f>
        <v>202608</v>
      </c>
      <c r="D18" s="20" t="n">
        <f aca="false">IF(AND(A18&gt;=Inputs!$B$33,A18&lt;=Inputs!$B$34),INDEX(Inputs!$B$38:$B$49,11)*30*Inputs!$B$35/7,IF(MONTH(A18)=11,INDEX(Inputs!$B$38:$B$49,11)*30*(1-Inputs!$B$35)/23,INDEX(Inputs!$B$38:$B$49,MONTH(A18))))</f>
        <v>0.85</v>
      </c>
      <c r="E18" s="30" t="n">
        <f aca="false">IF(MONTH(A18)=1,(YEAR(A18)-1)*100+12,YEAR(A18)*100+MONTH(A18)-1)</f>
        <v>202607</v>
      </c>
      <c r="F18" s="20" t="n">
        <f aca="false">D18/SUMIFS($D$2:$D$176,$B$2:$B$176,B18)</f>
        <v>0.142857142857143</v>
      </c>
      <c r="G18" s="11" t="n">
        <f aca="false">INDEX(Forecast!$B$8:$Z$8,1,(B18)+13)*F18</f>
        <v>15247.5864216755</v>
      </c>
      <c r="H18" s="11" t="n">
        <f aca="false">IF(B18&gt;=0,(INDEX(Forecast!$B$8:$Z$8,1,(B18)+13)*Inputs!$B$20+Inputs!$B$22)/7,IF(C18=202610,(Inputs!$B$21+Inputs!$B$22)/7,0))</f>
        <v>0</v>
      </c>
      <c r="I18" s="11" t="n">
        <f aca="false">IF(DAY(A18)=22,SUMIFS($H$2:$H$176,$C$2:$C$176,E18),0)</f>
        <v>0</v>
      </c>
      <c r="J18" s="11" t="n">
        <f aca="false">IF(DAY(A18)=1,Inputs!$B$24,0)</f>
        <v>0</v>
      </c>
      <c r="K18" s="11" t="n">
        <f aca="false">IF(DAY(A18)=1,Inputs!$B$30*Inputs!$B$31/12,0)</f>
        <v>0</v>
      </c>
      <c r="L18" s="11" t="n">
        <f aca="false">IF(DAY(A18)=20,Inputs!$B$25*SUMIFS($G$2:$G$176,$C$2:$C$176,E18),0)</f>
        <v>0</v>
      </c>
    </row>
    <row r="19" customFormat="false" ht="15" hidden="false" customHeight="false" outlineLevel="0" collapsed="false">
      <c r="A19" s="29" t="n">
        <v>46254</v>
      </c>
      <c r="B19" s="30" t="n">
        <f aca="false">INT((A19-Inputs!$B$5)/7)</f>
        <v>-10</v>
      </c>
      <c r="C19" s="30" t="n">
        <f aca="false">YEAR(A19)*100+MONTH(A19)</f>
        <v>202608</v>
      </c>
      <c r="D19" s="20" t="n">
        <f aca="false">IF(AND(A19&gt;=Inputs!$B$33,A19&lt;=Inputs!$B$34),INDEX(Inputs!$B$38:$B$49,11)*30*Inputs!$B$35/7,IF(MONTH(A19)=11,INDEX(Inputs!$B$38:$B$49,11)*30*(1-Inputs!$B$35)/23,INDEX(Inputs!$B$38:$B$49,MONTH(A19))))</f>
        <v>0.85</v>
      </c>
      <c r="E19" s="30" t="n">
        <f aca="false">IF(MONTH(A19)=1,(YEAR(A19)-1)*100+12,YEAR(A19)*100+MONTH(A19)-1)</f>
        <v>202607</v>
      </c>
      <c r="F19" s="20" t="n">
        <f aca="false">D19/SUMIFS($D$2:$D$176,$B$2:$B$176,B19)</f>
        <v>0.142857142857143</v>
      </c>
      <c r="G19" s="11" t="n">
        <f aca="false">INDEX(Forecast!$B$8:$Z$8,1,(B19)+13)*F19</f>
        <v>15247.5864216755</v>
      </c>
      <c r="H19" s="11" t="n">
        <f aca="false">IF(B19&gt;=0,(INDEX(Forecast!$B$8:$Z$8,1,(B19)+13)*Inputs!$B$20+Inputs!$B$22)/7,IF(C19=202610,(Inputs!$B$21+Inputs!$B$22)/7,0))</f>
        <v>0</v>
      </c>
      <c r="I19" s="11" t="n">
        <f aca="false">IF(DAY(A19)=22,SUMIFS($H$2:$H$176,$C$2:$C$176,E19),0)</f>
        <v>0</v>
      </c>
      <c r="J19" s="11" t="n">
        <f aca="false">IF(DAY(A19)=1,Inputs!$B$24,0)</f>
        <v>0</v>
      </c>
      <c r="K19" s="11" t="n">
        <f aca="false">IF(DAY(A19)=1,Inputs!$B$30*Inputs!$B$31/12,0)</f>
        <v>0</v>
      </c>
      <c r="L19" s="11" t="n">
        <f aca="false">IF(DAY(A19)=20,Inputs!$B$25*SUMIFS($G$2:$G$176,$C$2:$C$176,E19),0)</f>
        <v>0</v>
      </c>
    </row>
    <row r="20" customFormat="false" ht="15" hidden="false" customHeight="false" outlineLevel="0" collapsed="false">
      <c r="A20" s="29" t="n">
        <v>46255</v>
      </c>
      <c r="B20" s="30" t="n">
        <f aca="false">INT((A20-Inputs!$B$5)/7)</f>
        <v>-10</v>
      </c>
      <c r="C20" s="30" t="n">
        <f aca="false">YEAR(A20)*100+MONTH(A20)</f>
        <v>202608</v>
      </c>
      <c r="D20" s="20" t="n">
        <f aca="false">IF(AND(A20&gt;=Inputs!$B$33,A20&lt;=Inputs!$B$34),INDEX(Inputs!$B$38:$B$49,11)*30*Inputs!$B$35/7,IF(MONTH(A20)=11,INDEX(Inputs!$B$38:$B$49,11)*30*(1-Inputs!$B$35)/23,INDEX(Inputs!$B$38:$B$49,MONTH(A20))))</f>
        <v>0.85</v>
      </c>
      <c r="E20" s="30" t="n">
        <f aca="false">IF(MONTH(A20)=1,(YEAR(A20)-1)*100+12,YEAR(A20)*100+MONTH(A20)-1)</f>
        <v>202607</v>
      </c>
      <c r="F20" s="20" t="n">
        <f aca="false">D20/SUMIFS($D$2:$D$176,$B$2:$B$176,B20)</f>
        <v>0.142857142857143</v>
      </c>
      <c r="G20" s="11" t="n">
        <f aca="false">INDEX(Forecast!$B$8:$Z$8,1,(B20)+13)*F20</f>
        <v>15247.5864216755</v>
      </c>
      <c r="H20" s="11" t="n">
        <f aca="false">IF(B20&gt;=0,(INDEX(Forecast!$B$8:$Z$8,1,(B20)+13)*Inputs!$B$20+Inputs!$B$22)/7,IF(C20=202610,(Inputs!$B$21+Inputs!$B$22)/7,0))</f>
        <v>0</v>
      </c>
      <c r="I20" s="11" t="n">
        <f aca="false">IF(DAY(A20)=22,SUMIFS($H$2:$H$176,$C$2:$C$176,E20),0)</f>
        <v>0</v>
      </c>
      <c r="J20" s="11" t="n">
        <f aca="false">IF(DAY(A20)=1,Inputs!$B$24,0)</f>
        <v>0</v>
      </c>
      <c r="K20" s="11" t="n">
        <f aca="false">IF(DAY(A20)=1,Inputs!$B$30*Inputs!$B$31/12,0)</f>
        <v>0</v>
      </c>
      <c r="L20" s="11" t="n">
        <f aca="false">IF(DAY(A20)=20,Inputs!$B$25*SUMIFS($G$2:$G$176,$C$2:$C$176,E20),0)</f>
        <v>0</v>
      </c>
    </row>
    <row r="21" customFormat="false" ht="15" hidden="false" customHeight="false" outlineLevel="0" collapsed="false">
      <c r="A21" s="29" t="n">
        <v>46256</v>
      </c>
      <c r="B21" s="30" t="n">
        <f aca="false">INT((A21-Inputs!$B$5)/7)</f>
        <v>-10</v>
      </c>
      <c r="C21" s="30" t="n">
        <f aca="false">YEAR(A21)*100+MONTH(A21)</f>
        <v>202608</v>
      </c>
      <c r="D21" s="20" t="n">
        <f aca="false">IF(AND(A21&gt;=Inputs!$B$33,A21&lt;=Inputs!$B$34),INDEX(Inputs!$B$38:$B$49,11)*30*Inputs!$B$35/7,IF(MONTH(A21)=11,INDEX(Inputs!$B$38:$B$49,11)*30*(1-Inputs!$B$35)/23,INDEX(Inputs!$B$38:$B$49,MONTH(A21))))</f>
        <v>0.85</v>
      </c>
      <c r="E21" s="30" t="n">
        <f aca="false">IF(MONTH(A21)=1,(YEAR(A21)-1)*100+12,YEAR(A21)*100+MONTH(A21)-1)</f>
        <v>202607</v>
      </c>
      <c r="F21" s="20" t="n">
        <f aca="false">D21/SUMIFS($D$2:$D$176,$B$2:$B$176,B21)</f>
        <v>0.142857142857143</v>
      </c>
      <c r="G21" s="11" t="n">
        <f aca="false">INDEX(Forecast!$B$8:$Z$8,1,(B21)+13)*F21</f>
        <v>15247.5864216755</v>
      </c>
      <c r="H21" s="11" t="n">
        <f aca="false">IF(B21&gt;=0,(INDEX(Forecast!$B$8:$Z$8,1,(B21)+13)*Inputs!$B$20+Inputs!$B$22)/7,IF(C21=202610,(Inputs!$B$21+Inputs!$B$22)/7,0))</f>
        <v>0</v>
      </c>
      <c r="I21" s="11" t="n">
        <f aca="false">IF(DAY(A21)=22,SUMIFS($H$2:$H$176,$C$2:$C$176,E21),0)</f>
        <v>0</v>
      </c>
      <c r="J21" s="11" t="n">
        <f aca="false">IF(DAY(A21)=1,Inputs!$B$24,0)</f>
        <v>0</v>
      </c>
      <c r="K21" s="11" t="n">
        <f aca="false">IF(DAY(A21)=1,Inputs!$B$30*Inputs!$B$31/12,0)</f>
        <v>0</v>
      </c>
      <c r="L21" s="11" t="n">
        <f aca="false">IF(DAY(A21)=20,Inputs!$B$25*SUMIFS($G$2:$G$176,$C$2:$C$176,E21),0)</f>
        <v>0</v>
      </c>
    </row>
    <row r="22" customFormat="false" ht="15" hidden="false" customHeight="false" outlineLevel="0" collapsed="false">
      <c r="A22" s="29" t="n">
        <v>46257</v>
      </c>
      <c r="B22" s="30" t="n">
        <f aca="false">INT((A22-Inputs!$B$5)/7)</f>
        <v>-10</v>
      </c>
      <c r="C22" s="30" t="n">
        <f aca="false">YEAR(A22)*100+MONTH(A22)</f>
        <v>202608</v>
      </c>
      <c r="D22" s="20" t="n">
        <f aca="false">IF(AND(A22&gt;=Inputs!$B$33,A22&lt;=Inputs!$B$34),INDEX(Inputs!$B$38:$B$49,11)*30*Inputs!$B$35/7,IF(MONTH(A22)=11,INDEX(Inputs!$B$38:$B$49,11)*30*(1-Inputs!$B$35)/23,INDEX(Inputs!$B$38:$B$49,MONTH(A22))))</f>
        <v>0.85</v>
      </c>
      <c r="E22" s="30" t="n">
        <f aca="false">IF(MONTH(A22)=1,(YEAR(A22)-1)*100+12,YEAR(A22)*100+MONTH(A22)-1)</f>
        <v>202607</v>
      </c>
      <c r="F22" s="20" t="n">
        <f aca="false">D22/SUMIFS($D$2:$D$176,$B$2:$B$176,B22)</f>
        <v>0.142857142857143</v>
      </c>
      <c r="G22" s="11" t="n">
        <f aca="false">INDEX(Forecast!$B$8:$Z$8,1,(B22)+13)*F22</f>
        <v>15247.5864216755</v>
      </c>
      <c r="H22" s="11" t="n">
        <f aca="false">IF(B22&gt;=0,(INDEX(Forecast!$B$8:$Z$8,1,(B22)+13)*Inputs!$B$20+Inputs!$B$22)/7,IF(C22=202610,(Inputs!$B$21+Inputs!$B$22)/7,0))</f>
        <v>0</v>
      </c>
      <c r="I22" s="11" t="n">
        <f aca="false">IF(DAY(A22)=22,SUMIFS($H$2:$H$176,$C$2:$C$176,E22),0)</f>
        <v>0</v>
      </c>
      <c r="J22" s="11" t="n">
        <f aca="false">IF(DAY(A22)=1,Inputs!$B$24,0)</f>
        <v>0</v>
      </c>
      <c r="K22" s="11" t="n">
        <f aca="false">IF(DAY(A22)=1,Inputs!$B$30*Inputs!$B$31/12,0)</f>
        <v>0</v>
      </c>
      <c r="L22" s="11" t="n">
        <f aca="false">IF(DAY(A22)=20,Inputs!$B$25*SUMIFS($G$2:$G$176,$C$2:$C$176,E22),0)</f>
        <v>0</v>
      </c>
    </row>
    <row r="23" customFormat="false" ht="15" hidden="false" customHeight="false" outlineLevel="0" collapsed="false">
      <c r="A23" s="29" t="n">
        <v>46258</v>
      </c>
      <c r="B23" s="30" t="n">
        <f aca="false">INT((A23-Inputs!$B$5)/7)</f>
        <v>-9</v>
      </c>
      <c r="C23" s="30" t="n">
        <f aca="false">YEAR(A23)*100+MONTH(A23)</f>
        <v>202608</v>
      </c>
      <c r="D23" s="20" t="n">
        <f aca="false">IF(AND(A23&gt;=Inputs!$B$33,A23&lt;=Inputs!$B$34),INDEX(Inputs!$B$38:$B$49,11)*30*Inputs!$B$35/7,IF(MONTH(A23)=11,INDEX(Inputs!$B$38:$B$49,11)*30*(1-Inputs!$B$35)/23,INDEX(Inputs!$B$38:$B$49,MONTH(A23))))</f>
        <v>0.85</v>
      </c>
      <c r="E23" s="30" t="n">
        <f aca="false">IF(MONTH(A23)=1,(YEAR(A23)-1)*100+12,YEAR(A23)*100+MONTH(A23)-1)</f>
        <v>202607</v>
      </c>
      <c r="F23" s="20" t="n">
        <f aca="false">D23/SUMIFS($D$2:$D$176,$B$2:$B$176,B23)</f>
        <v>0.142857142857143</v>
      </c>
      <c r="G23" s="11" t="n">
        <f aca="false">INDEX(Forecast!$B$8:$Z$8,1,(B23)+13)*F23</f>
        <v>15247.5864216755</v>
      </c>
      <c r="H23" s="11" t="n">
        <f aca="false">IF(B23&gt;=0,(INDEX(Forecast!$B$8:$Z$8,1,(B23)+13)*Inputs!$B$20+Inputs!$B$22)/7,IF(C23=202610,(Inputs!$B$21+Inputs!$B$22)/7,0))</f>
        <v>0</v>
      </c>
      <c r="I23" s="11" t="n">
        <f aca="false">IF(DAY(A23)=22,SUMIFS($H$2:$H$176,$C$2:$C$176,E23),0)</f>
        <v>0</v>
      </c>
      <c r="J23" s="11" t="n">
        <f aca="false">IF(DAY(A23)=1,Inputs!$B$24,0)</f>
        <v>0</v>
      </c>
      <c r="K23" s="11" t="n">
        <f aca="false">IF(DAY(A23)=1,Inputs!$B$30*Inputs!$B$31/12,0)</f>
        <v>0</v>
      </c>
      <c r="L23" s="11" t="n">
        <f aca="false">IF(DAY(A23)=20,Inputs!$B$25*SUMIFS($G$2:$G$176,$C$2:$C$176,E23),0)</f>
        <v>0</v>
      </c>
    </row>
    <row r="24" customFormat="false" ht="15" hidden="false" customHeight="false" outlineLevel="0" collapsed="false">
      <c r="A24" s="29" t="n">
        <v>46259</v>
      </c>
      <c r="B24" s="30" t="n">
        <f aca="false">INT((A24-Inputs!$B$5)/7)</f>
        <v>-9</v>
      </c>
      <c r="C24" s="30" t="n">
        <f aca="false">YEAR(A24)*100+MONTH(A24)</f>
        <v>202608</v>
      </c>
      <c r="D24" s="20" t="n">
        <f aca="false">IF(AND(A24&gt;=Inputs!$B$33,A24&lt;=Inputs!$B$34),INDEX(Inputs!$B$38:$B$49,11)*30*Inputs!$B$35/7,IF(MONTH(A24)=11,INDEX(Inputs!$B$38:$B$49,11)*30*(1-Inputs!$B$35)/23,INDEX(Inputs!$B$38:$B$49,MONTH(A24))))</f>
        <v>0.85</v>
      </c>
      <c r="E24" s="30" t="n">
        <f aca="false">IF(MONTH(A24)=1,(YEAR(A24)-1)*100+12,YEAR(A24)*100+MONTH(A24)-1)</f>
        <v>202607</v>
      </c>
      <c r="F24" s="20" t="n">
        <f aca="false">D24/SUMIFS($D$2:$D$176,$B$2:$B$176,B24)</f>
        <v>0.142857142857143</v>
      </c>
      <c r="G24" s="11" t="n">
        <f aca="false">INDEX(Forecast!$B$8:$Z$8,1,(B24)+13)*F24</f>
        <v>15247.5864216755</v>
      </c>
      <c r="H24" s="11" t="n">
        <f aca="false">IF(B24&gt;=0,(INDEX(Forecast!$B$8:$Z$8,1,(B24)+13)*Inputs!$B$20+Inputs!$B$22)/7,IF(C24=202610,(Inputs!$B$21+Inputs!$B$22)/7,0))</f>
        <v>0</v>
      </c>
      <c r="I24" s="11" t="n">
        <f aca="false">IF(DAY(A24)=22,SUMIFS($H$2:$H$176,$C$2:$C$176,E24),0)</f>
        <v>0</v>
      </c>
      <c r="J24" s="11" t="n">
        <f aca="false">IF(DAY(A24)=1,Inputs!$B$24,0)</f>
        <v>0</v>
      </c>
      <c r="K24" s="11" t="n">
        <f aca="false">IF(DAY(A24)=1,Inputs!$B$30*Inputs!$B$31/12,0)</f>
        <v>0</v>
      </c>
      <c r="L24" s="11" t="n">
        <f aca="false">IF(DAY(A24)=20,Inputs!$B$25*SUMIFS($G$2:$G$176,$C$2:$C$176,E24),0)</f>
        <v>0</v>
      </c>
    </row>
    <row r="25" customFormat="false" ht="15" hidden="false" customHeight="false" outlineLevel="0" collapsed="false">
      <c r="A25" s="29" t="n">
        <v>46260</v>
      </c>
      <c r="B25" s="30" t="n">
        <f aca="false">INT((A25-Inputs!$B$5)/7)</f>
        <v>-9</v>
      </c>
      <c r="C25" s="30" t="n">
        <f aca="false">YEAR(A25)*100+MONTH(A25)</f>
        <v>202608</v>
      </c>
      <c r="D25" s="20" t="n">
        <f aca="false">IF(AND(A25&gt;=Inputs!$B$33,A25&lt;=Inputs!$B$34),INDEX(Inputs!$B$38:$B$49,11)*30*Inputs!$B$35/7,IF(MONTH(A25)=11,INDEX(Inputs!$B$38:$B$49,11)*30*(1-Inputs!$B$35)/23,INDEX(Inputs!$B$38:$B$49,MONTH(A25))))</f>
        <v>0.85</v>
      </c>
      <c r="E25" s="30" t="n">
        <f aca="false">IF(MONTH(A25)=1,(YEAR(A25)-1)*100+12,YEAR(A25)*100+MONTH(A25)-1)</f>
        <v>202607</v>
      </c>
      <c r="F25" s="20" t="n">
        <f aca="false">D25/SUMIFS($D$2:$D$176,$B$2:$B$176,B25)</f>
        <v>0.142857142857143</v>
      </c>
      <c r="G25" s="11" t="n">
        <f aca="false">INDEX(Forecast!$B$8:$Z$8,1,(B25)+13)*F25</f>
        <v>15247.5864216755</v>
      </c>
      <c r="H25" s="11" t="n">
        <f aca="false">IF(B25&gt;=0,(INDEX(Forecast!$B$8:$Z$8,1,(B25)+13)*Inputs!$B$20+Inputs!$B$22)/7,IF(C25=202610,(Inputs!$B$21+Inputs!$B$22)/7,0))</f>
        <v>0</v>
      </c>
      <c r="I25" s="11" t="n">
        <f aca="false">IF(DAY(A25)=22,SUMIFS($H$2:$H$176,$C$2:$C$176,E25),0)</f>
        <v>0</v>
      </c>
      <c r="J25" s="11" t="n">
        <f aca="false">IF(DAY(A25)=1,Inputs!$B$24,0)</f>
        <v>0</v>
      </c>
      <c r="K25" s="11" t="n">
        <f aca="false">IF(DAY(A25)=1,Inputs!$B$30*Inputs!$B$31/12,0)</f>
        <v>0</v>
      </c>
      <c r="L25" s="11" t="n">
        <f aca="false">IF(DAY(A25)=20,Inputs!$B$25*SUMIFS($G$2:$G$176,$C$2:$C$176,E25),0)</f>
        <v>0</v>
      </c>
    </row>
    <row r="26" customFormat="false" ht="15" hidden="false" customHeight="false" outlineLevel="0" collapsed="false">
      <c r="A26" s="29" t="n">
        <v>46261</v>
      </c>
      <c r="B26" s="30" t="n">
        <f aca="false">INT((A26-Inputs!$B$5)/7)</f>
        <v>-9</v>
      </c>
      <c r="C26" s="30" t="n">
        <f aca="false">YEAR(A26)*100+MONTH(A26)</f>
        <v>202608</v>
      </c>
      <c r="D26" s="20" t="n">
        <f aca="false">IF(AND(A26&gt;=Inputs!$B$33,A26&lt;=Inputs!$B$34),INDEX(Inputs!$B$38:$B$49,11)*30*Inputs!$B$35/7,IF(MONTH(A26)=11,INDEX(Inputs!$B$38:$B$49,11)*30*(1-Inputs!$B$35)/23,INDEX(Inputs!$B$38:$B$49,MONTH(A26))))</f>
        <v>0.85</v>
      </c>
      <c r="E26" s="30" t="n">
        <f aca="false">IF(MONTH(A26)=1,(YEAR(A26)-1)*100+12,YEAR(A26)*100+MONTH(A26)-1)</f>
        <v>202607</v>
      </c>
      <c r="F26" s="20" t="n">
        <f aca="false">D26/SUMIFS($D$2:$D$176,$B$2:$B$176,B26)</f>
        <v>0.142857142857143</v>
      </c>
      <c r="G26" s="11" t="n">
        <f aca="false">INDEX(Forecast!$B$8:$Z$8,1,(B26)+13)*F26</f>
        <v>15247.5864216755</v>
      </c>
      <c r="H26" s="11" t="n">
        <f aca="false">IF(B26&gt;=0,(INDEX(Forecast!$B$8:$Z$8,1,(B26)+13)*Inputs!$B$20+Inputs!$B$22)/7,IF(C26=202610,(Inputs!$B$21+Inputs!$B$22)/7,0))</f>
        <v>0</v>
      </c>
      <c r="I26" s="11" t="n">
        <f aca="false">IF(DAY(A26)=22,SUMIFS($H$2:$H$176,$C$2:$C$176,E26),0)</f>
        <v>0</v>
      </c>
      <c r="J26" s="11" t="n">
        <f aca="false">IF(DAY(A26)=1,Inputs!$B$24,0)</f>
        <v>0</v>
      </c>
      <c r="K26" s="11" t="n">
        <f aca="false">IF(DAY(A26)=1,Inputs!$B$30*Inputs!$B$31/12,0)</f>
        <v>0</v>
      </c>
      <c r="L26" s="11" t="n">
        <f aca="false">IF(DAY(A26)=20,Inputs!$B$25*SUMIFS($G$2:$G$176,$C$2:$C$176,E26),0)</f>
        <v>0</v>
      </c>
    </row>
    <row r="27" customFormat="false" ht="15" hidden="false" customHeight="false" outlineLevel="0" collapsed="false">
      <c r="A27" s="29" t="n">
        <v>46262</v>
      </c>
      <c r="B27" s="30" t="n">
        <f aca="false">INT((A27-Inputs!$B$5)/7)</f>
        <v>-9</v>
      </c>
      <c r="C27" s="30" t="n">
        <f aca="false">YEAR(A27)*100+MONTH(A27)</f>
        <v>202608</v>
      </c>
      <c r="D27" s="20" t="n">
        <f aca="false">IF(AND(A27&gt;=Inputs!$B$33,A27&lt;=Inputs!$B$34),INDEX(Inputs!$B$38:$B$49,11)*30*Inputs!$B$35/7,IF(MONTH(A27)=11,INDEX(Inputs!$B$38:$B$49,11)*30*(1-Inputs!$B$35)/23,INDEX(Inputs!$B$38:$B$49,MONTH(A27))))</f>
        <v>0.85</v>
      </c>
      <c r="E27" s="30" t="n">
        <f aca="false">IF(MONTH(A27)=1,(YEAR(A27)-1)*100+12,YEAR(A27)*100+MONTH(A27)-1)</f>
        <v>202607</v>
      </c>
      <c r="F27" s="20" t="n">
        <f aca="false">D27/SUMIFS($D$2:$D$176,$B$2:$B$176,B27)</f>
        <v>0.142857142857143</v>
      </c>
      <c r="G27" s="11" t="n">
        <f aca="false">INDEX(Forecast!$B$8:$Z$8,1,(B27)+13)*F27</f>
        <v>15247.5864216755</v>
      </c>
      <c r="H27" s="11" t="n">
        <f aca="false">IF(B27&gt;=0,(INDEX(Forecast!$B$8:$Z$8,1,(B27)+13)*Inputs!$B$20+Inputs!$B$22)/7,IF(C27=202610,(Inputs!$B$21+Inputs!$B$22)/7,0))</f>
        <v>0</v>
      </c>
      <c r="I27" s="11" t="n">
        <f aca="false">IF(DAY(A27)=22,SUMIFS($H$2:$H$176,$C$2:$C$176,E27),0)</f>
        <v>0</v>
      </c>
      <c r="J27" s="11" t="n">
        <f aca="false">IF(DAY(A27)=1,Inputs!$B$24,0)</f>
        <v>0</v>
      </c>
      <c r="K27" s="11" t="n">
        <f aca="false">IF(DAY(A27)=1,Inputs!$B$30*Inputs!$B$31/12,0)</f>
        <v>0</v>
      </c>
      <c r="L27" s="11" t="n">
        <f aca="false">IF(DAY(A27)=20,Inputs!$B$25*SUMIFS($G$2:$G$176,$C$2:$C$176,E27),0)</f>
        <v>0</v>
      </c>
    </row>
    <row r="28" customFormat="false" ht="15" hidden="false" customHeight="false" outlineLevel="0" collapsed="false">
      <c r="A28" s="29" t="n">
        <v>46263</v>
      </c>
      <c r="B28" s="30" t="n">
        <f aca="false">INT((A28-Inputs!$B$5)/7)</f>
        <v>-9</v>
      </c>
      <c r="C28" s="30" t="n">
        <f aca="false">YEAR(A28)*100+MONTH(A28)</f>
        <v>202608</v>
      </c>
      <c r="D28" s="20" t="n">
        <f aca="false">IF(AND(A28&gt;=Inputs!$B$33,A28&lt;=Inputs!$B$34),INDEX(Inputs!$B$38:$B$49,11)*30*Inputs!$B$35/7,IF(MONTH(A28)=11,INDEX(Inputs!$B$38:$B$49,11)*30*(1-Inputs!$B$35)/23,INDEX(Inputs!$B$38:$B$49,MONTH(A28))))</f>
        <v>0.85</v>
      </c>
      <c r="E28" s="30" t="n">
        <f aca="false">IF(MONTH(A28)=1,(YEAR(A28)-1)*100+12,YEAR(A28)*100+MONTH(A28)-1)</f>
        <v>202607</v>
      </c>
      <c r="F28" s="20" t="n">
        <f aca="false">D28/SUMIFS($D$2:$D$176,$B$2:$B$176,B28)</f>
        <v>0.142857142857143</v>
      </c>
      <c r="G28" s="11" t="n">
        <f aca="false">INDEX(Forecast!$B$8:$Z$8,1,(B28)+13)*F28</f>
        <v>15247.5864216755</v>
      </c>
      <c r="H28" s="11" t="n">
        <f aca="false">IF(B28&gt;=0,(INDEX(Forecast!$B$8:$Z$8,1,(B28)+13)*Inputs!$B$20+Inputs!$B$22)/7,IF(C28=202610,(Inputs!$B$21+Inputs!$B$22)/7,0))</f>
        <v>0</v>
      </c>
      <c r="I28" s="11" t="n">
        <f aca="false">IF(DAY(A28)=22,SUMIFS($H$2:$H$176,$C$2:$C$176,E28),0)</f>
        <v>0</v>
      </c>
      <c r="J28" s="11" t="n">
        <f aca="false">IF(DAY(A28)=1,Inputs!$B$24,0)</f>
        <v>0</v>
      </c>
      <c r="K28" s="11" t="n">
        <f aca="false">IF(DAY(A28)=1,Inputs!$B$30*Inputs!$B$31/12,0)</f>
        <v>0</v>
      </c>
      <c r="L28" s="11" t="n">
        <f aca="false">IF(DAY(A28)=20,Inputs!$B$25*SUMIFS($G$2:$G$176,$C$2:$C$176,E28),0)</f>
        <v>0</v>
      </c>
    </row>
    <row r="29" customFormat="false" ht="15" hidden="false" customHeight="false" outlineLevel="0" collapsed="false">
      <c r="A29" s="29" t="n">
        <v>46264</v>
      </c>
      <c r="B29" s="30" t="n">
        <f aca="false">INT((A29-Inputs!$B$5)/7)</f>
        <v>-9</v>
      </c>
      <c r="C29" s="30" t="n">
        <f aca="false">YEAR(A29)*100+MONTH(A29)</f>
        <v>202608</v>
      </c>
      <c r="D29" s="20" t="n">
        <f aca="false">IF(AND(A29&gt;=Inputs!$B$33,A29&lt;=Inputs!$B$34),INDEX(Inputs!$B$38:$B$49,11)*30*Inputs!$B$35/7,IF(MONTH(A29)=11,INDEX(Inputs!$B$38:$B$49,11)*30*(1-Inputs!$B$35)/23,INDEX(Inputs!$B$38:$B$49,MONTH(A29))))</f>
        <v>0.85</v>
      </c>
      <c r="E29" s="30" t="n">
        <f aca="false">IF(MONTH(A29)=1,(YEAR(A29)-1)*100+12,YEAR(A29)*100+MONTH(A29)-1)</f>
        <v>202607</v>
      </c>
      <c r="F29" s="20" t="n">
        <f aca="false">D29/SUMIFS($D$2:$D$176,$B$2:$B$176,B29)</f>
        <v>0.142857142857143</v>
      </c>
      <c r="G29" s="11" t="n">
        <f aca="false">INDEX(Forecast!$B$8:$Z$8,1,(B29)+13)*F29</f>
        <v>15247.5864216755</v>
      </c>
      <c r="H29" s="11" t="n">
        <f aca="false">IF(B29&gt;=0,(INDEX(Forecast!$B$8:$Z$8,1,(B29)+13)*Inputs!$B$20+Inputs!$B$22)/7,IF(C29=202610,(Inputs!$B$21+Inputs!$B$22)/7,0))</f>
        <v>0</v>
      </c>
      <c r="I29" s="11" t="n">
        <f aca="false">IF(DAY(A29)=22,SUMIFS($H$2:$H$176,$C$2:$C$176,E29),0)</f>
        <v>0</v>
      </c>
      <c r="J29" s="11" t="n">
        <f aca="false">IF(DAY(A29)=1,Inputs!$B$24,0)</f>
        <v>0</v>
      </c>
      <c r="K29" s="11" t="n">
        <f aca="false">IF(DAY(A29)=1,Inputs!$B$30*Inputs!$B$31/12,0)</f>
        <v>0</v>
      </c>
      <c r="L29" s="11" t="n">
        <f aca="false">IF(DAY(A29)=20,Inputs!$B$25*SUMIFS($G$2:$G$176,$C$2:$C$176,E29),0)</f>
        <v>0</v>
      </c>
    </row>
    <row r="30" customFormat="false" ht="15" hidden="false" customHeight="false" outlineLevel="0" collapsed="false">
      <c r="A30" s="29" t="n">
        <v>46265</v>
      </c>
      <c r="B30" s="30" t="n">
        <f aca="false">INT((A30-Inputs!$B$5)/7)</f>
        <v>-8</v>
      </c>
      <c r="C30" s="30" t="n">
        <f aca="false">YEAR(A30)*100+MONTH(A30)</f>
        <v>202608</v>
      </c>
      <c r="D30" s="20" t="n">
        <f aca="false">IF(AND(A30&gt;=Inputs!$B$33,A30&lt;=Inputs!$B$34),INDEX(Inputs!$B$38:$B$49,11)*30*Inputs!$B$35/7,IF(MONTH(A30)=11,INDEX(Inputs!$B$38:$B$49,11)*30*(1-Inputs!$B$35)/23,INDEX(Inputs!$B$38:$B$49,MONTH(A30))))</f>
        <v>0.85</v>
      </c>
      <c r="E30" s="30" t="n">
        <f aca="false">IF(MONTH(A30)=1,(YEAR(A30)-1)*100+12,YEAR(A30)*100+MONTH(A30)-1)</f>
        <v>202607</v>
      </c>
      <c r="F30" s="20" t="n">
        <f aca="false">D30/SUMIFS($D$2:$D$176,$B$2:$B$176,B30)</f>
        <v>0.136</v>
      </c>
      <c r="G30" s="11" t="n">
        <f aca="false">INDEX(Forecast!$B$8:$Z$8,1,(B30)+13)*F30</f>
        <v>15247.5864216755</v>
      </c>
      <c r="H30" s="11" t="n">
        <f aca="false">IF(B30&gt;=0,(INDEX(Forecast!$B$8:$Z$8,1,(B30)+13)*Inputs!$B$20+Inputs!$B$22)/7,IF(C30=202610,(Inputs!$B$21+Inputs!$B$22)/7,0))</f>
        <v>0</v>
      </c>
      <c r="I30" s="11" t="n">
        <f aca="false">IF(DAY(A30)=22,SUMIFS($H$2:$H$176,$C$2:$C$176,E30),0)</f>
        <v>0</v>
      </c>
      <c r="J30" s="11" t="n">
        <f aca="false">IF(DAY(A30)=1,Inputs!$B$24,0)</f>
        <v>0</v>
      </c>
      <c r="K30" s="11" t="n">
        <f aca="false">IF(DAY(A30)=1,Inputs!$B$30*Inputs!$B$31/12,0)</f>
        <v>0</v>
      </c>
      <c r="L30" s="11" t="n">
        <f aca="false">IF(DAY(A30)=20,Inputs!$B$25*SUMIFS($G$2:$G$176,$C$2:$C$176,E30),0)</f>
        <v>0</v>
      </c>
    </row>
    <row r="31" customFormat="false" ht="15" hidden="false" customHeight="false" outlineLevel="0" collapsed="false">
      <c r="A31" s="29" t="n">
        <v>46266</v>
      </c>
      <c r="B31" s="30" t="n">
        <f aca="false">INT((A31-Inputs!$B$5)/7)</f>
        <v>-8</v>
      </c>
      <c r="C31" s="30" t="n">
        <f aca="false">YEAR(A31)*100+MONTH(A31)</f>
        <v>202609</v>
      </c>
      <c r="D31" s="20" t="n">
        <f aca="false">IF(AND(A31&gt;=Inputs!$B$33,A31&lt;=Inputs!$B$34),INDEX(Inputs!$B$38:$B$49,11)*30*Inputs!$B$35/7,IF(MONTH(A31)=11,INDEX(Inputs!$B$38:$B$49,11)*30*(1-Inputs!$B$35)/23,INDEX(Inputs!$B$38:$B$49,MONTH(A31))))</f>
        <v>0.9</v>
      </c>
      <c r="E31" s="30" t="n">
        <f aca="false">IF(MONTH(A31)=1,(YEAR(A31)-1)*100+12,YEAR(A31)*100+MONTH(A31)-1)</f>
        <v>202608</v>
      </c>
      <c r="F31" s="20" t="n">
        <f aca="false">D31/SUMIFS($D$2:$D$176,$B$2:$B$176,B31)</f>
        <v>0.144</v>
      </c>
      <c r="G31" s="11" t="n">
        <f aca="false">INDEX(Forecast!$B$8:$Z$8,1,(B31)+13)*F31</f>
        <v>16144.5032700093</v>
      </c>
      <c r="H31" s="11" t="n">
        <f aca="false">IF(B31&gt;=0,(INDEX(Forecast!$B$8:$Z$8,1,(B31)+13)*Inputs!$B$20+Inputs!$B$22)/7,IF(C31=202610,(Inputs!$B$21+Inputs!$B$22)/7,0))</f>
        <v>0</v>
      </c>
      <c r="I31" s="11" t="n">
        <f aca="false">IF(DAY(A31)=22,SUMIFS($H$2:$H$176,$C$2:$C$176,E31),0)</f>
        <v>0</v>
      </c>
      <c r="J31" s="11" t="n">
        <f aca="false">IF(DAY(A31)=1,Inputs!$B$24,0)</f>
        <v>24000</v>
      </c>
      <c r="K31" s="11" t="n">
        <f aca="false">IF(DAY(A31)=1,Inputs!$B$30*Inputs!$B$31/12,0)</f>
        <v>3666.66666666667</v>
      </c>
      <c r="L31" s="11" t="n">
        <f aca="false">IF(DAY(A31)=20,Inputs!$B$25*SUMIFS($G$2:$G$176,$C$2:$C$176,E31),0)</f>
        <v>0</v>
      </c>
    </row>
    <row r="32" customFormat="false" ht="15" hidden="false" customHeight="false" outlineLevel="0" collapsed="false">
      <c r="A32" s="29" t="n">
        <v>46267</v>
      </c>
      <c r="B32" s="30" t="n">
        <f aca="false">INT((A32-Inputs!$B$5)/7)</f>
        <v>-8</v>
      </c>
      <c r="C32" s="30" t="n">
        <f aca="false">YEAR(A32)*100+MONTH(A32)</f>
        <v>202609</v>
      </c>
      <c r="D32" s="20" t="n">
        <f aca="false">IF(AND(A32&gt;=Inputs!$B$33,A32&lt;=Inputs!$B$34),INDEX(Inputs!$B$38:$B$49,11)*30*Inputs!$B$35/7,IF(MONTH(A32)=11,INDEX(Inputs!$B$38:$B$49,11)*30*(1-Inputs!$B$35)/23,INDEX(Inputs!$B$38:$B$49,MONTH(A32))))</f>
        <v>0.9</v>
      </c>
      <c r="E32" s="30" t="n">
        <f aca="false">IF(MONTH(A32)=1,(YEAR(A32)-1)*100+12,YEAR(A32)*100+MONTH(A32)-1)</f>
        <v>202608</v>
      </c>
      <c r="F32" s="20" t="n">
        <f aca="false">D32/SUMIFS($D$2:$D$176,$B$2:$B$176,B32)</f>
        <v>0.144</v>
      </c>
      <c r="G32" s="11" t="n">
        <f aca="false">INDEX(Forecast!$B$8:$Z$8,1,(B32)+13)*F32</f>
        <v>16144.5032700093</v>
      </c>
      <c r="H32" s="11" t="n">
        <f aca="false">IF(B32&gt;=0,(INDEX(Forecast!$B$8:$Z$8,1,(B32)+13)*Inputs!$B$20+Inputs!$B$22)/7,IF(C32=202610,(Inputs!$B$21+Inputs!$B$22)/7,0))</f>
        <v>0</v>
      </c>
      <c r="I32" s="11" t="n">
        <f aca="false">IF(DAY(A32)=22,SUMIFS($H$2:$H$176,$C$2:$C$176,E32),0)</f>
        <v>0</v>
      </c>
      <c r="J32" s="11" t="n">
        <f aca="false">IF(DAY(A32)=1,Inputs!$B$24,0)</f>
        <v>0</v>
      </c>
      <c r="K32" s="11" t="n">
        <f aca="false">IF(DAY(A32)=1,Inputs!$B$30*Inputs!$B$31/12,0)</f>
        <v>0</v>
      </c>
      <c r="L32" s="11" t="n">
        <f aca="false">IF(DAY(A32)=20,Inputs!$B$25*SUMIFS($G$2:$G$176,$C$2:$C$176,E32),0)</f>
        <v>0</v>
      </c>
    </row>
    <row r="33" customFormat="false" ht="15" hidden="false" customHeight="false" outlineLevel="0" collapsed="false">
      <c r="A33" s="29" t="n">
        <v>46268</v>
      </c>
      <c r="B33" s="30" t="n">
        <f aca="false">INT((A33-Inputs!$B$5)/7)</f>
        <v>-8</v>
      </c>
      <c r="C33" s="30" t="n">
        <f aca="false">YEAR(A33)*100+MONTH(A33)</f>
        <v>202609</v>
      </c>
      <c r="D33" s="20" t="n">
        <f aca="false">IF(AND(A33&gt;=Inputs!$B$33,A33&lt;=Inputs!$B$34),INDEX(Inputs!$B$38:$B$49,11)*30*Inputs!$B$35/7,IF(MONTH(A33)=11,INDEX(Inputs!$B$38:$B$49,11)*30*(1-Inputs!$B$35)/23,INDEX(Inputs!$B$38:$B$49,MONTH(A33))))</f>
        <v>0.9</v>
      </c>
      <c r="E33" s="30" t="n">
        <f aca="false">IF(MONTH(A33)=1,(YEAR(A33)-1)*100+12,YEAR(A33)*100+MONTH(A33)-1)</f>
        <v>202608</v>
      </c>
      <c r="F33" s="20" t="n">
        <f aca="false">D33/SUMIFS($D$2:$D$176,$B$2:$B$176,B33)</f>
        <v>0.144</v>
      </c>
      <c r="G33" s="11" t="n">
        <f aca="false">INDEX(Forecast!$B$8:$Z$8,1,(B33)+13)*F33</f>
        <v>16144.5032700093</v>
      </c>
      <c r="H33" s="11" t="n">
        <f aca="false">IF(B33&gt;=0,(INDEX(Forecast!$B$8:$Z$8,1,(B33)+13)*Inputs!$B$20+Inputs!$B$22)/7,IF(C33=202610,(Inputs!$B$21+Inputs!$B$22)/7,0))</f>
        <v>0</v>
      </c>
      <c r="I33" s="11" t="n">
        <f aca="false">IF(DAY(A33)=22,SUMIFS($H$2:$H$176,$C$2:$C$176,E33),0)</f>
        <v>0</v>
      </c>
      <c r="J33" s="11" t="n">
        <f aca="false">IF(DAY(A33)=1,Inputs!$B$24,0)</f>
        <v>0</v>
      </c>
      <c r="K33" s="11" t="n">
        <f aca="false">IF(DAY(A33)=1,Inputs!$B$30*Inputs!$B$31/12,0)</f>
        <v>0</v>
      </c>
      <c r="L33" s="11" t="n">
        <f aca="false">IF(DAY(A33)=20,Inputs!$B$25*SUMIFS($G$2:$G$176,$C$2:$C$176,E33),0)</f>
        <v>0</v>
      </c>
    </row>
    <row r="34" customFormat="false" ht="15" hidden="false" customHeight="false" outlineLevel="0" collapsed="false">
      <c r="A34" s="29" t="n">
        <v>46269</v>
      </c>
      <c r="B34" s="30" t="n">
        <f aca="false">INT((A34-Inputs!$B$5)/7)</f>
        <v>-8</v>
      </c>
      <c r="C34" s="30" t="n">
        <f aca="false">YEAR(A34)*100+MONTH(A34)</f>
        <v>202609</v>
      </c>
      <c r="D34" s="20" t="n">
        <f aca="false">IF(AND(A34&gt;=Inputs!$B$33,A34&lt;=Inputs!$B$34),INDEX(Inputs!$B$38:$B$49,11)*30*Inputs!$B$35/7,IF(MONTH(A34)=11,INDEX(Inputs!$B$38:$B$49,11)*30*(1-Inputs!$B$35)/23,INDEX(Inputs!$B$38:$B$49,MONTH(A34))))</f>
        <v>0.9</v>
      </c>
      <c r="E34" s="30" t="n">
        <f aca="false">IF(MONTH(A34)=1,(YEAR(A34)-1)*100+12,YEAR(A34)*100+MONTH(A34)-1)</f>
        <v>202608</v>
      </c>
      <c r="F34" s="20" t="n">
        <f aca="false">D34/SUMIFS($D$2:$D$176,$B$2:$B$176,B34)</f>
        <v>0.144</v>
      </c>
      <c r="G34" s="11" t="n">
        <f aca="false">INDEX(Forecast!$B$8:$Z$8,1,(B34)+13)*F34</f>
        <v>16144.5032700093</v>
      </c>
      <c r="H34" s="11" t="n">
        <f aca="false">IF(B34&gt;=0,(INDEX(Forecast!$B$8:$Z$8,1,(B34)+13)*Inputs!$B$20+Inputs!$B$22)/7,IF(C34=202610,(Inputs!$B$21+Inputs!$B$22)/7,0))</f>
        <v>0</v>
      </c>
      <c r="I34" s="11" t="n">
        <f aca="false">IF(DAY(A34)=22,SUMIFS($H$2:$H$176,$C$2:$C$176,E34),0)</f>
        <v>0</v>
      </c>
      <c r="J34" s="11" t="n">
        <f aca="false">IF(DAY(A34)=1,Inputs!$B$24,0)</f>
        <v>0</v>
      </c>
      <c r="K34" s="11" t="n">
        <f aca="false">IF(DAY(A34)=1,Inputs!$B$30*Inputs!$B$31/12,0)</f>
        <v>0</v>
      </c>
      <c r="L34" s="11" t="n">
        <f aca="false">IF(DAY(A34)=20,Inputs!$B$25*SUMIFS($G$2:$G$176,$C$2:$C$176,E34),0)</f>
        <v>0</v>
      </c>
    </row>
    <row r="35" customFormat="false" ht="15" hidden="false" customHeight="false" outlineLevel="0" collapsed="false">
      <c r="A35" s="29" t="n">
        <v>46270</v>
      </c>
      <c r="B35" s="30" t="n">
        <f aca="false">INT((A35-Inputs!$B$5)/7)</f>
        <v>-8</v>
      </c>
      <c r="C35" s="30" t="n">
        <f aca="false">YEAR(A35)*100+MONTH(A35)</f>
        <v>202609</v>
      </c>
      <c r="D35" s="20" t="n">
        <f aca="false">IF(AND(A35&gt;=Inputs!$B$33,A35&lt;=Inputs!$B$34),INDEX(Inputs!$B$38:$B$49,11)*30*Inputs!$B$35/7,IF(MONTH(A35)=11,INDEX(Inputs!$B$38:$B$49,11)*30*(1-Inputs!$B$35)/23,INDEX(Inputs!$B$38:$B$49,MONTH(A35))))</f>
        <v>0.9</v>
      </c>
      <c r="E35" s="30" t="n">
        <f aca="false">IF(MONTH(A35)=1,(YEAR(A35)-1)*100+12,YEAR(A35)*100+MONTH(A35)-1)</f>
        <v>202608</v>
      </c>
      <c r="F35" s="20" t="n">
        <f aca="false">D35/SUMIFS($D$2:$D$176,$B$2:$B$176,B35)</f>
        <v>0.144</v>
      </c>
      <c r="G35" s="11" t="n">
        <f aca="false">INDEX(Forecast!$B$8:$Z$8,1,(B35)+13)*F35</f>
        <v>16144.5032700093</v>
      </c>
      <c r="H35" s="11" t="n">
        <f aca="false">IF(B35&gt;=0,(INDEX(Forecast!$B$8:$Z$8,1,(B35)+13)*Inputs!$B$20+Inputs!$B$22)/7,IF(C35=202610,(Inputs!$B$21+Inputs!$B$22)/7,0))</f>
        <v>0</v>
      </c>
      <c r="I35" s="11" t="n">
        <f aca="false">IF(DAY(A35)=22,SUMIFS($H$2:$H$176,$C$2:$C$176,E35),0)</f>
        <v>0</v>
      </c>
      <c r="J35" s="11" t="n">
        <f aca="false">IF(DAY(A35)=1,Inputs!$B$24,0)</f>
        <v>0</v>
      </c>
      <c r="K35" s="11" t="n">
        <f aca="false">IF(DAY(A35)=1,Inputs!$B$30*Inputs!$B$31/12,0)</f>
        <v>0</v>
      </c>
      <c r="L35" s="11" t="n">
        <f aca="false">IF(DAY(A35)=20,Inputs!$B$25*SUMIFS($G$2:$G$176,$C$2:$C$176,E35),0)</f>
        <v>0</v>
      </c>
    </row>
    <row r="36" customFormat="false" ht="15" hidden="false" customHeight="false" outlineLevel="0" collapsed="false">
      <c r="A36" s="29" t="n">
        <v>46271</v>
      </c>
      <c r="B36" s="30" t="n">
        <f aca="false">INT((A36-Inputs!$B$5)/7)</f>
        <v>-8</v>
      </c>
      <c r="C36" s="30" t="n">
        <f aca="false">YEAR(A36)*100+MONTH(A36)</f>
        <v>202609</v>
      </c>
      <c r="D36" s="20" t="n">
        <f aca="false">IF(AND(A36&gt;=Inputs!$B$33,A36&lt;=Inputs!$B$34),INDEX(Inputs!$B$38:$B$49,11)*30*Inputs!$B$35/7,IF(MONTH(A36)=11,INDEX(Inputs!$B$38:$B$49,11)*30*(1-Inputs!$B$35)/23,INDEX(Inputs!$B$38:$B$49,MONTH(A36))))</f>
        <v>0.9</v>
      </c>
      <c r="E36" s="30" t="n">
        <f aca="false">IF(MONTH(A36)=1,(YEAR(A36)-1)*100+12,YEAR(A36)*100+MONTH(A36)-1)</f>
        <v>202608</v>
      </c>
      <c r="F36" s="20" t="n">
        <f aca="false">D36/SUMIFS($D$2:$D$176,$B$2:$B$176,B36)</f>
        <v>0.144</v>
      </c>
      <c r="G36" s="11" t="n">
        <f aca="false">INDEX(Forecast!$B$8:$Z$8,1,(B36)+13)*F36</f>
        <v>16144.5032700093</v>
      </c>
      <c r="H36" s="11" t="n">
        <f aca="false">IF(B36&gt;=0,(INDEX(Forecast!$B$8:$Z$8,1,(B36)+13)*Inputs!$B$20+Inputs!$B$22)/7,IF(C36=202610,(Inputs!$B$21+Inputs!$B$22)/7,0))</f>
        <v>0</v>
      </c>
      <c r="I36" s="11" t="n">
        <f aca="false">IF(DAY(A36)=22,SUMIFS($H$2:$H$176,$C$2:$C$176,E36),0)</f>
        <v>0</v>
      </c>
      <c r="J36" s="11" t="n">
        <f aca="false">IF(DAY(A36)=1,Inputs!$B$24,0)</f>
        <v>0</v>
      </c>
      <c r="K36" s="11" t="n">
        <f aca="false">IF(DAY(A36)=1,Inputs!$B$30*Inputs!$B$31/12,0)</f>
        <v>0</v>
      </c>
      <c r="L36" s="11" t="n">
        <f aca="false">IF(DAY(A36)=20,Inputs!$B$25*SUMIFS($G$2:$G$176,$C$2:$C$176,E36),0)</f>
        <v>0</v>
      </c>
    </row>
    <row r="37" customFormat="false" ht="15" hidden="false" customHeight="false" outlineLevel="0" collapsed="false">
      <c r="A37" s="29" t="n">
        <v>46272</v>
      </c>
      <c r="B37" s="30" t="n">
        <f aca="false">INT((A37-Inputs!$B$5)/7)</f>
        <v>-7</v>
      </c>
      <c r="C37" s="30" t="n">
        <f aca="false">YEAR(A37)*100+MONTH(A37)</f>
        <v>202609</v>
      </c>
      <c r="D37" s="20" t="n">
        <f aca="false">IF(AND(A37&gt;=Inputs!$B$33,A37&lt;=Inputs!$B$34),INDEX(Inputs!$B$38:$B$49,11)*30*Inputs!$B$35/7,IF(MONTH(A37)=11,INDEX(Inputs!$B$38:$B$49,11)*30*(1-Inputs!$B$35)/23,INDEX(Inputs!$B$38:$B$49,MONTH(A37))))</f>
        <v>0.9</v>
      </c>
      <c r="E37" s="30" t="n">
        <f aca="false">IF(MONTH(A37)=1,(YEAR(A37)-1)*100+12,YEAR(A37)*100+MONTH(A37)-1)</f>
        <v>202608</v>
      </c>
      <c r="F37" s="20" t="n">
        <f aca="false">D37/SUMIFS($D$2:$D$176,$B$2:$B$176,B37)</f>
        <v>0.142857142857143</v>
      </c>
      <c r="G37" s="11" t="n">
        <f aca="false">INDEX(Forecast!$B$8:$Z$8,1,(B37)+13)*F37</f>
        <v>16144.5032700093</v>
      </c>
      <c r="H37" s="11" t="n">
        <f aca="false">IF(B37&gt;=0,(INDEX(Forecast!$B$8:$Z$8,1,(B37)+13)*Inputs!$B$20+Inputs!$B$22)/7,IF(C37=202610,(Inputs!$B$21+Inputs!$B$22)/7,0))</f>
        <v>0</v>
      </c>
      <c r="I37" s="11" t="n">
        <f aca="false">IF(DAY(A37)=22,SUMIFS($H$2:$H$176,$C$2:$C$176,E37),0)</f>
        <v>0</v>
      </c>
      <c r="J37" s="11" t="n">
        <f aca="false">IF(DAY(A37)=1,Inputs!$B$24,0)</f>
        <v>0</v>
      </c>
      <c r="K37" s="11" t="n">
        <f aca="false">IF(DAY(A37)=1,Inputs!$B$30*Inputs!$B$31/12,0)</f>
        <v>0</v>
      </c>
      <c r="L37" s="11" t="n">
        <f aca="false">IF(DAY(A37)=20,Inputs!$B$25*SUMIFS($G$2:$G$176,$C$2:$C$176,E37),0)</f>
        <v>0</v>
      </c>
    </row>
    <row r="38" customFormat="false" ht="15" hidden="false" customHeight="false" outlineLevel="0" collapsed="false">
      <c r="A38" s="29" t="n">
        <v>46273</v>
      </c>
      <c r="B38" s="30" t="n">
        <f aca="false">INT((A38-Inputs!$B$5)/7)</f>
        <v>-7</v>
      </c>
      <c r="C38" s="30" t="n">
        <f aca="false">YEAR(A38)*100+MONTH(A38)</f>
        <v>202609</v>
      </c>
      <c r="D38" s="20" t="n">
        <f aca="false">IF(AND(A38&gt;=Inputs!$B$33,A38&lt;=Inputs!$B$34),INDEX(Inputs!$B$38:$B$49,11)*30*Inputs!$B$35/7,IF(MONTH(A38)=11,INDEX(Inputs!$B$38:$B$49,11)*30*(1-Inputs!$B$35)/23,INDEX(Inputs!$B$38:$B$49,MONTH(A38))))</f>
        <v>0.9</v>
      </c>
      <c r="E38" s="30" t="n">
        <f aca="false">IF(MONTH(A38)=1,(YEAR(A38)-1)*100+12,YEAR(A38)*100+MONTH(A38)-1)</f>
        <v>202608</v>
      </c>
      <c r="F38" s="20" t="n">
        <f aca="false">D38/SUMIFS($D$2:$D$176,$B$2:$B$176,B38)</f>
        <v>0.142857142857143</v>
      </c>
      <c r="G38" s="11" t="n">
        <f aca="false">INDEX(Forecast!$B$8:$Z$8,1,(B38)+13)*F38</f>
        <v>16144.5032700093</v>
      </c>
      <c r="H38" s="11" t="n">
        <f aca="false">IF(B38&gt;=0,(INDEX(Forecast!$B$8:$Z$8,1,(B38)+13)*Inputs!$B$20+Inputs!$B$22)/7,IF(C38=202610,(Inputs!$B$21+Inputs!$B$22)/7,0))</f>
        <v>0</v>
      </c>
      <c r="I38" s="11" t="n">
        <f aca="false">IF(DAY(A38)=22,SUMIFS($H$2:$H$176,$C$2:$C$176,E38),0)</f>
        <v>0</v>
      </c>
      <c r="J38" s="11" t="n">
        <f aca="false">IF(DAY(A38)=1,Inputs!$B$24,0)</f>
        <v>0</v>
      </c>
      <c r="K38" s="11" t="n">
        <f aca="false">IF(DAY(A38)=1,Inputs!$B$30*Inputs!$B$31/12,0)</f>
        <v>0</v>
      </c>
      <c r="L38" s="11" t="n">
        <f aca="false">IF(DAY(A38)=20,Inputs!$B$25*SUMIFS($G$2:$G$176,$C$2:$C$176,E38),0)</f>
        <v>0</v>
      </c>
    </row>
    <row r="39" customFormat="false" ht="15" hidden="false" customHeight="false" outlineLevel="0" collapsed="false">
      <c r="A39" s="29" t="n">
        <v>46274</v>
      </c>
      <c r="B39" s="30" t="n">
        <f aca="false">INT((A39-Inputs!$B$5)/7)</f>
        <v>-7</v>
      </c>
      <c r="C39" s="30" t="n">
        <f aca="false">YEAR(A39)*100+MONTH(A39)</f>
        <v>202609</v>
      </c>
      <c r="D39" s="20" t="n">
        <f aca="false">IF(AND(A39&gt;=Inputs!$B$33,A39&lt;=Inputs!$B$34),INDEX(Inputs!$B$38:$B$49,11)*30*Inputs!$B$35/7,IF(MONTH(A39)=11,INDEX(Inputs!$B$38:$B$49,11)*30*(1-Inputs!$B$35)/23,INDEX(Inputs!$B$38:$B$49,MONTH(A39))))</f>
        <v>0.9</v>
      </c>
      <c r="E39" s="30" t="n">
        <f aca="false">IF(MONTH(A39)=1,(YEAR(A39)-1)*100+12,YEAR(A39)*100+MONTH(A39)-1)</f>
        <v>202608</v>
      </c>
      <c r="F39" s="20" t="n">
        <f aca="false">D39/SUMIFS($D$2:$D$176,$B$2:$B$176,B39)</f>
        <v>0.142857142857143</v>
      </c>
      <c r="G39" s="11" t="n">
        <f aca="false">INDEX(Forecast!$B$8:$Z$8,1,(B39)+13)*F39</f>
        <v>16144.5032700093</v>
      </c>
      <c r="H39" s="11" t="n">
        <f aca="false">IF(B39&gt;=0,(INDEX(Forecast!$B$8:$Z$8,1,(B39)+13)*Inputs!$B$20+Inputs!$B$22)/7,IF(C39=202610,(Inputs!$B$21+Inputs!$B$22)/7,0))</f>
        <v>0</v>
      </c>
      <c r="I39" s="11" t="n">
        <f aca="false">IF(DAY(A39)=22,SUMIFS($H$2:$H$176,$C$2:$C$176,E39),0)</f>
        <v>0</v>
      </c>
      <c r="J39" s="11" t="n">
        <f aca="false">IF(DAY(A39)=1,Inputs!$B$24,0)</f>
        <v>0</v>
      </c>
      <c r="K39" s="11" t="n">
        <f aca="false">IF(DAY(A39)=1,Inputs!$B$30*Inputs!$B$31/12,0)</f>
        <v>0</v>
      </c>
      <c r="L39" s="11" t="n">
        <f aca="false">IF(DAY(A39)=20,Inputs!$B$25*SUMIFS($G$2:$G$176,$C$2:$C$176,E39),0)</f>
        <v>0</v>
      </c>
    </row>
    <row r="40" customFormat="false" ht="15" hidden="false" customHeight="false" outlineLevel="0" collapsed="false">
      <c r="A40" s="29" t="n">
        <v>46275</v>
      </c>
      <c r="B40" s="30" t="n">
        <f aca="false">INT((A40-Inputs!$B$5)/7)</f>
        <v>-7</v>
      </c>
      <c r="C40" s="30" t="n">
        <f aca="false">YEAR(A40)*100+MONTH(A40)</f>
        <v>202609</v>
      </c>
      <c r="D40" s="20" t="n">
        <f aca="false">IF(AND(A40&gt;=Inputs!$B$33,A40&lt;=Inputs!$B$34),INDEX(Inputs!$B$38:$B$49,11)*30*Inputs!$B$35/7,IF(MONTH(A40)=11,INDEX(Inputs!$B$38:$B$49,11)*30*(1-Inputs!$B$35)/23,INDEX(Inputs!$B$38:$B$49,MONTH(A40))))</f>
        <v>0.9</v>
      </c>
      <c r="E40" s="30" t="n">
        <f aca="false">IF(MONTH(A40)=1,(YEAR(A40)-1)*100+12,YEAR(A40)*100+MONTH(A40)-1)</f>
        <v>202608</v>
      </c>
      <c r="F40" s="20" t="n">
        <f aca="false">D40/SUMIFS($D$2:$D$176,$B$2:$B$176,B40)</f>
        <v>0.142857142857143</v>
      </c>
      <c r="G40" s="11" t="n">
        <f aca="false">INDEX(Forecast!$B$8:$Z$8,1,(B40)+13)*F40</f>
        <v>16144.5032700093</v>
      </c>
      <c r="H40" s="11" t="n">
        <f aca="false">IF(B40&gt;=0,(INDEX(Forecast!$B$8:$Z$8,1,(B40)+13)*Inputs!$B$20+Inputs!$B$22)/7,IF(C40=202610,(Inputs!$B$21+Inputs!$B$22)/7,0))</f>
        <v>0</v>
      </c>
      <c r="I40" s="11" t="n">
        <f aca="false">IF(DAY(A40)=22,SUMIFS($H$2:$H$176,$C$2:$C$176,E40),0)</f>
        <v>0</v>
      </c>
      <c r="J40" s="11" t="n">
        <f aca="false">IF(DAY(A40)=1,Inputs!$B$24,0)</f>
        <v>0</v>
      </c>
      <c r="K40" s="11" t="n">
        <f aca="false">IF(DAY(A40)=1,Inputs!$B$30*Inputs!$B$31/12,0)</f>
        <v>0</v>
      </c>
      <c r="L40" s="11" t="n">
        <f aca="false">IF(DAY(A40)=20,Inputs!$B$25*SUMIFS($G$2:$G$176,$C$2:$C$176,E40),0)</f>
        <v>0</v>
      </c>
    </row>
    <row r="41" customFormat="false" ht="15" hidden="false" customHeight="false" outlineLevel="0" collapsed="false">
      <c r="A41" s="29" t="n">
        <v>46276</v>
      </c>
      <c r="B41" s="30" t="n">
        <f aca="false">INT((A41-Inputs!$B$5)/7)</f>
        <v>-7</v>
      </c>
      <c r="C41" s="30" t="n">
        <f aca="false">YEAR(A41)*100+MONTH(A41)</f>
        <v>202609</v>
      </c>
      <c r="D41" s="20" t="n">
        <f aca="false">IF(AND(A41&gt;=Inputs!$B$33,A41&lt;=Inputs!$B$34),INDEX(Inputs!$B$38:$B$49,11)*30*Inputs!$B$35/7,IF(MONTH(A41)=11,INDEX(Inputs!$B$38:$B$49,11)*30*(1-Inputs!$B$35)/23,INDEX(Inputs!$B$38:$B$49,MONTH(A41))))</f>
        <v>0.9</v>
      </c>
      <c r="E41" s="30" t="n">
        <f aca="false">IF(MONTH(A41)=1,(YEAR(A41)-1)*100+12,YEAR(A41)*100+MONTH(A41)-1)</f>
        <v>202608</v>
      </c>
      <c r="F41" s="20" t="n">
        <f aca="false">D41/SUMIFS($D$2:$D$176,$B$2:$B$176,B41)</f>
        <v>0.142857142857143</v>
      </c>
      <c r="G41" s="11" t="n">
        <f aca="false">INDEX(Forecast!$B$8:$Z$8,1,(B41)+13)*F41</f>
        <v>16144.5032700093</v>
      </c>
      <c r="H41" s="11" t="n">
        <f aca="false">IF(B41&gt;=0,(INDEX(Forecast!$B$8:$Z$8,1,(B41)+13)*Inputs!$B$20+Inputs!$B$22)/7,IF(C41=202610,(Inputs!$B$21+Inputs!$B$22)/7,0))</f>
        <v>0</v>
      </c>
      <c r="I41" s="11" t="n">
        <f aca="false">IF(DAY(A41)=22,SUMIFS($H$2:$H$176,$C$2:$C$176,E41),0)</f>
        <v>0</v>
      </c>
      <c r="J41" s="11" t="n">
        <f aca="false">IF(DAY(A41)=1,Inputs!$B$24,0)</f>
        <v>0</v>
      </c>
      <c r="K41" s="11" t="n">
        <f aca="false">IF(DAY(A41)=1,Inputs!$B$30*Inputs!$B$31/12,0)</f>
        <v>0</v>
      </c>
      <c r="L41" s="11" t="n">
        <f aca="false">IF(DAY(A41)=20,Inputs!$B$25*SUMIFS($G$2:$G$176,$C$2:$C$176,E41),0)</f>
        <v>0</v>
      </c>
    </row>
    <row r="42" customFormat="false" ht="15" hidden="false" customHeight="false" outlineLevel="0" collapsed="false">
      <c r="A42" s="29" t="n">
        <v>46277</v>
      </c>
      <c r="B42" s="30" t="n">
        <f aca="false">INT((A42-Inputs!$B$5)/7)</f>
        <v>-7</v>
      </c>
      <c r="C42" s="30" t="n">
        <f aca="false">YEAR(A42)*100+MONTH(A42)</f>
        <v>202609</v>
      </c>
      <c r="D42" s="20" t="n">
        <f aca="false">IF(AND(A42&gt;=Inputs!$B$33,A42&lt;=Inputs!$B$34),INDEX(Inputs!$B$38:$B$49,11)*30*Inputs!$B$35/7,IF(MONTH(A42)=11,INDEX(Inputs!$B$38:$B$49,11)*30*(1-Inputs!$B$35)/23,INDEX(Inputs!$B$38:$B$49,MONTH(A42))))</f>
        <v>0.9</v>
      </c>
      <c r="E42" s="30" t="n">
        <f aca="false">IF(MONTH(A42)=1,(YEAR(A42)-1)*100+12,YEAR(A42)*100+MONTH(A42)-1)</f>
        <v>202608</v>
      </c>
      <c r="F42" s="20" t="n">
        <f aca="false">D42/SUMIFS($D$2:$D$176,$B$2:$B$176,B42)</f>
        <v>0.142857142857143</v>
      </c>
      <c r="G42" s="11" t="n">
        <f aca="false">INDEX(Forecast!$B$8:$Z$8,1,(B42)+13)*F42</f>
        <v>16144.5032700093</v>
      </c>
      <c r="H42" s="11" t="n">
        <f aca="false">IF(B42&gt;=0,(INDEX(Forecast!$B$8:$Z$8,1,(B42)+13)*Inputs!$B$20+Inputs!$B$22)/7,IF(C42=202610,(Inputs!$B$21+Inputs!$B$22)/7,0))</f>
        <v>0</v>
      </c>
      <c r="I42" s="11" t="n">
        <f aca="false">IF(DAY(A42)=22,SUMIFS($H$2:$H$176,$C$2:$C$176,E42),0)</f>
        <v>0</v>
      </c>
      <c r="J42" s="11" t="n">
        <f aca="false">IF(DAY(A42)=1,Inputs!$B$24,0)</f>
        <v>0</v>
      </c>
      <c r="K42" s="11" t="n">
        <f aca="false">IF(DAY(A42)=1,Inputs!$B$30*Inputs!$B$31/12,0)</f>
        <v>0</v>
      </c>
      <c r="L42" s="11" t="n">
        <f aca="false">IF(DAY(A42)=20,Inputs!$B$25*SUMIFS($G$2:$G$176,$C$2:$C$176,E42),0)</f>
        <v>0</v>
      </c>
    </row>
    <row r="43" customFormat="false" ht="15" hidden="false" customHeight="false" outlineLevel="0" collapsed="false">
      <c r="A43" s="29" t="n">
        <v>46278</v>
      </c>
      <c r="B43" s="30" t="n">
        <f aca="false">INT((A43-Inputs!$B$5)/7)</f>
        <v>-7</v>
      </c>
      <c r="C43" s="30" t="n">
        <f aca="false">YEAR(A43)*100+MONTH(A43)</f>
        <v>202609</v>
      </c>
      <c r="D43" s="20" t="n">
        <f aca="false">IF(AND(A43&gt;=Inputs!$B$33,A43&lt;=Inputs!$B$34),INDEX(Inputs!$B$38:$B$49,11)*30*Inputs!$B$35/7,IF(MONTH(A43)=11,INDEX(Inputs!$B$38:$B$49,11)*30*(1-Inputs!$B$35)/23,INDEX(Inputs!$B$38:$B$49,MONTH(A43))))</f>
        <v>0.9</v>
      </c>
      <c r="E43" s="30" t="n">
        <f aca="false">IF(MONTH(A43)=1,(YEAR(A43)-1)*100+12,YEAR(A43)*100+MONTH(A43)-1)</f>
        <v>202608</v>
      </c>
      <c r="F43" s="20" t="n">
        <f aca="false">D43/SUMIFS($D$2:$D$176,$B$2:$B$176,B43)</f>
        <v>0.142857142857143</v>
      </c>
      <c r="G43" s="11" t="n">
        <f aca="false">INDEX(Forecast!$B$8:$Z$8,1,(B43)+13)*F43</f>
        <v>16144.5032700093</v>
      </c>
      <c r="H43" s="11" t="n">
        <f aca="false">IF(B43&gt;=0,(INDEX(Forecast!$B$8:$Z$8,1,(B43)+13)*Inputs!$B$20+Inputs!$B$22)/7,IF(C43=202610,(Inputs!$B$21+Inputs!$B$22)/7,0))</f>
        <v>0</v>
      </c>
      <c r="I43" s="11" t="n">
        <f aca="false">IF(DAY(A43)=22,SUMIFS($H$2:$H$176,$C$2:$C$176,E43),0)</f>
        <v>0</v>
      </c>
      <c r="J43" s="11" t="n">
        <f aca="false">IF(DAY(A43)=1,Inputs!$B$24,0)</f>
        <v>0</v>
      </c>
      <c r="K43" s="11" t="n">
        <f aca="false">IF(DAY(A43)=1,Inputs!$B$30*Inputs!$B$31/12,0)</f>
        <v>0</v>
      </c>
      <c r="L43" s="11" t="n">
        <f aca="false">IF(DAY(A43)=20,Inputs!$B$25*SUMIFS($G$2:$G$176,$C$2:$C$176,E43),0)</f>
        <v>0</v>
      </c>
    </row>
    <row r="44" customFormat="false" ht="15" hidden="false" customHeight="false" outlineLevel="0" collapsed="false">
      <c r="A44" s="29" t="n">
        <v>46279</v>
      </c>
      <c r="B44" s="30" t="n">
        <f aca="false">INT((A44-Inputs!$B$5)/7)</f>
        <v>-6</v>
      </c>
      <c r="C44" s="30" t="n">
        <f aca="false">YEAR(A44)*100+MONTH(A44)</f>
        <v>202609</v>
      </c>
      <c r="D44" s="20" t="n">
        <f aca="false">IF(AND(A44&gt;=Inputs!$B$33,A44&lt;=Inputs!$B$34),INDEX(Inputs!$B$38:$B$49,11)*30*Inputs!$B$35/7,IF(MONTH(A44)=11,INDEX(Inputs!$B$38:$B$49,11)*30*(1-Inputs!$B$35)/23,INDEX(Inputs!$B$38:$B$49,MONTH(A44))))</f>
        <v>0.9</v>
      </c>
      <c r="E44" s="30" t="n">
        <f aca="false">IF(MONTH(A44)=1,(YEAR(A44)-1)*100+12,YEAR(A44)*100+MONTH(A44)-1)</f>
        <v>202608</v>
      </c>
      <c r="F44" s="20" t="n">
        <f aca="false">D44/SUMIFS($D$2:$D$176,$B$2:$B$176,B44)</f>
        <v>0.142857142857143</v>
      </c>
      <c r="G44" s="11" t="n">
        <f aca="false">INDEX(Forecast!$B$8:$Z$8,1,(B44)+13)*F44</f>
        <v>16144.5032700093</v>
      </c>
      <c r="H44" s="11" t="n">
        <f aca="false">IF(B44&gt;=0,(INDEX(Forecast!$B$8:$Z$8,1,(B44)+13)*Inputs!$B$20+Inputs!$B$22)/7,IF(C44=202610,(Inputs!$B$21+Inputs!$B$22)/7,0))</f>
        <v>0</v>
      </c>
      <c r="I44" s="11" t="n">
        <f aca="false">IF(DAY(A44)=22,SUMIFS($H$2:$H$176,$C$2:$C$176,E44),0)</f>
        <v>0</v>
      </c>
      <c r="J44" s="11" t="n">
        <f aca="false">IF(DAY(A44)=1,Inputs!$B$24,0)</f>
        <v>0</v>
      </c>
      <c r="K44" s="11" t="n">
        <f aca="false">IF(DAY(A44)=1,Inputs!$B$30*Inputs!$B$31/12,0)</f>
        <v>0</v>
      </c>
      <c r="L44" s="11" t="n">
        <f aca="false">IF(DAY(A44)=20,Inputs!$B$25*SUMIFS($G$2:$G$176,$C$2:$C$176,E44),0)</f>
        <v>0</v>
      </c>
    </row>
    <row r="45" customFormat="false" ht="15" hidden="false" customHeight="false" outlineLevel="0" collapsed="false">
      <c r="A45" s="29" t="n">
        <v>46280</v>
      </c>
      <c r="B45" s="30" t="n">
        <f aca="false">INT((A45-Inputs!$B$5)/7)</f>
        <v>-6</v>
      </c>
      <c r="C45" s="30" t="n">
        <f aca="false">YEAR(A45)*100+MONTH(A45)</f>
        <v>202609</v>
      </c>
      <c r="D45" s="20" t="n">
        <f aca="false">IF(AND(A45&gt;=Inputs!$B$33,A45&lt;=Inputs!$B$34),INDEX(Inputs!$B$38:$B$49,11)*30*Inputs!$B$35/7,IF(MONTH(A45)=11,INDEX(Inputs!$B$38:$B$49,11)*30*(1-Inputs!$B$35)/23,INDEX(Inputs!$B$38:$B$49,MONTH(A45))))</f>
        <v>0.9</v>
      </c>
      <c r="E45" s="30" t="n">
        <f aca="false">IF(MONTH(A45)=1,(YEAR(A45)-1)*100+12,YEAR(A45)*100+MONTH(A45)-1)</f>
        <v>202608</v>
      </c>
      <c r="F45" s="20" t="n">
        <f aca="false">D45/SUMIFS($D$2:$D$176,$B$2:$B$176,B45)</f>
        <v>0.142857142857143</v>
      </c>
      <c r="G45" s="11" t="n">
        <f aca="false">INDEX(Forecast!$B$8:$Z$8,1,(B45)+13)*F45</f>
        <v>16144.5032700093</v>
      </c>
      <c r="H45" s="11" t="n">
        <f aca="false">IF(B45&gt;=0,(INDEX(Forecast!$B$8:$Z$8,1,(B45)+13)*Inputs!$B$20+Inputs!$B$22)/7,IF(C45=202610,(Inputs!$B$21+Inputs!$B$22)/7,0))</f>
        <v>0</v>
      </c>
      <c r="I45" s="11" t="n">
        <f aca="false">IF(DAY(A45)=22,SUMIFS($H$2:$H$176,$C$2:$C$176,E45),0)</f>
        <v>0</v>
      </c>
      <c r="J45" s="11" t="n">
        <f aca="false">IF(DAY(A45)=1,Inputs!$B$24,0)</f>
        <v>0</v>
      </c>
      <c r="K45" s="11" t="n">
        <f aca="false">IF(DAY(A45)=1,Inputs!$B$30*Inputs!$B$31/12,0)</f>
        <v>0</v>
      </c>
      <c r="L45" s="11" t="n">
        <f aca="false">IF(DAY(A45)=20,Inputs!$B$25*SUMIFS($G$2:$G$176,$C$2:$C$176,E45),0)</f>
        <v>0</v>
      </c>
    </row>
    <row r="46" customFormat="false" ht="15" hidden="false" customHeight="false" outlineLevel="0" collapsed="false">
      <c r="A46" s="29" t="n">
        <v>46281</v>
      </c>
      <c r="B46" s="30" t="n">
        <f aca="false">INT((A46-Inputs!$B$5)/7)</f>
        <v>-6</v>
      </c>
      <c r="C46" s="30" t="n">
        <f aca="false">YEAR(A46)*100+MONTH(A46)</f>
        <v>202609</v>
      </c>
      <c r="D46" s="20" t="n">
        <f aca="false">IF(AND(A46&gt;=Inputs!$B$33,A46&lt;=Inputs!$B$34),INDEX(Inputs!$B$38:$B$49,11)*30*Inputs!$B$35/7,IF(MONTH(A46)=11,INDEX(Inputs!$B$38:$B$49,11)*30*(1-Inputs!$B$35)/23,INDEX(Inputs!$B$38:$B$49,MONTH(A46))))</f>
        <v>0.9</v>
      </c>
      <c r="E46" s="30" t="n">
        <f aca="false">IF(MONTH(A46)=1,(YEAR(A46)-1)*100+12,YEAR(A46)*100+MONTH(A46)-1)</f>
        <v>202608</v>
      </c>
      <c r="F46" s="20" t="n">
        <f aca="false">D46/SUMIFS($D$2:$D$176,$B$2:$B$176,B46)</f>
        <v>0.142857142857143</v>
      </c>
      <c r="G46" s="11" t="n">
        <f aca="false">INDEX(Forecast!$B$8:$Z$8,1,(B46)+13)*F46</f>
        <v>16144.5032700093</v>
      </c>
      <c r="H46" s="11" t="n">
        <f aca="false">IF(B46&gt;=0,(INDEX(Forecast!$B$8:$Z$8,1,(B46)+13)*Inputs!$B$20+Inputs!$B$22)/7,IF(C46=202610,(Inputs!$B$21+Inputs!$B$22)/7,0))</f>
        <v>0</v>
      </c>
      <c r="I46" s="11" t="n">
        <f aca="false">IF(DAY(A46)=22,SUMIFS($H$2:$H$176,$C$2:$C$176,E46),0)</f>
        <v>0</v>
      </c>
      <c r="J46" s="11" t="n">
        <f aca="false">IF(DAY(A46)=1,Inputs!$B$24,0)</f>
        <v>0</v>
      </c>
      <c r="K46" s="11" t="n">
        <f aca="false">IF(DAY(A46)=1,Inputs!$B$30*Inputs!$B$31/12,0)</f>
        <v>0</v>
      </c>
      <c r="L46" s="11" t="n">
        <f aca="false">IF(DAY(A46)=20,Inputs!$B$25*SUMIFS($G$2:$G$176,$C$2:$C$176,E46),0)</f>
        <v>0</v>
      </c>
    </row>
    <row r="47" customFormat="false" ht="15" hidden="false" customHeight="false" outlineLevel="0" collapsed="false">
      <c r="A47" s="29" t="n">
        <v>46282</v>
      </c>
      <c r="B47" s="30" t="n">
        <f aca="false">INT((A47-Inputs!$B$5)/7)</f>
        <v>-6</v>
      </c>
      <c r="C47" s="30" t="n">
        <f aca="false">YEAR(A47)*100+MONTH(A47)</f>
        <v>202609</v>
      </c>
      <c r="D47" s="20" t="n">
        <f aca="false">IF(AND(A47&gt;=Inputs!$B$33,A47&lt;=Inputs!$B$34),INDEX(Inputs!$B$38:$B$49,11)*30*Inputs!$B$35/7,IF(MONTH(A47)=11,INDEX(Inputs!$B$38:$B$49,11)*30*(1-Inputs!$B$35)/23,INDEX(Inputs!$B$38:$B$49,MONTH(A47))))</f>
        <v>0.9</v>
      </c>
      <c r="E47" s="30" t="n">
        <f aca="false">IF(MONTH(A47)=1,(YEAR(A47)-1)*100+12,YEAR(A47)*100+MONTH(A47)-1)</f>
        <v>202608</v>
      </c>
      <c r="F47" s="20" t="n">
        <f aca="false">D47/SUMIFS($D$2:$D$176,$B$2:$B$176,B47)</f>
        <v>0.142857142857143</v>
      </c>
      <c r="G47" s="11" t="n">
        <f aca="false">INDEX(Forecast!$B$8:$Z$8,1,(B47)+13)*F47</f>
        <v>16144.5032700093</v>
      </c>
      <c r="H47" s="11" t="n">
        <f aca="false">IF(B47&gt;=0,(INDEX(Forecast!$B$8:$Z$8,1,(B47)+13)*Inputs!$B$20+Inputs!$B$22)/7,IF(C47=202610,(Inputs!$B$21+Inputs!$B$22)/7,0))</f>
        <v>0</v>
      </c>
      <c r="I47" s="11" t="n">
        <f aca="false">IF(DAY(A47)=22,SUMIFS($H$2:$H$176,$C$2:$C$176,E47),0)</f>
        <v>0</v>
      </c>
      <c r="J47" s="11" t="n">
        <f aca="false">IF(DAY(A47)=1,Inputs!$B$24,0)</f>
        <v>0</v>
      </c>
      <c r="K47" s="11" t="n">
        <f aca="false">IF(DAY(A47)=1,Inputs!$B$30*Inputs!$B$31/12,0)</f>
        <v>0</v>
      </c>
      <c r="L47" s="11" t="n">
        <f aca="false">IF(DAY(A47)=20,Inputs!$B$25*SUMIFS($G$2:$G$176,$C$2:$C$176,E47),0)</f>
        <v>0</v>
      </c>
    </row>
    <row r="48" customFormat="false" ht="15" hidden="false" customHeight="false" outlineLevel="0" collapsed="false">
      <c r="A48" s="29" t="n">
        <v>46283</v>
      </c>
      <c r="B48" s="30" t="n">
        <f aca="false">INT((A48-Inputs!$B$5)/7)</f>
        <v>-6</v>
      </c>
      <c r="C48" s="30" t="n">
        <f aca="false">YEAR(A48)*100+MONTH(A48)</f>
        <v>202609</v>
      </c>
      <c r="D48" s="20" t="n">
        <f aca="false">IF(AND(A48&gt;=Inputs!$B$33,A48&lt;=Inputs!$B$34),INDEX(Inputs!$B$38:$B$49,11)*30*Inputs!$B$35/7,IF(MONTH(A48)=11,INDEX(Inputs!$B$38:$B$49,11)*30*(1-Inputs!$B$35)/23,INDEX(Inputs!$B$38:$B$49,MONTH(A48))))</f>
        <v>0.9</v>
      </c>
      <c r="E48" s="30" t="n">
        <f aca="false">IF(MONTH(A48)=1,(YEAR(A48)-1)*100+12,YEAR(A48)*100+MONTH(A48)-1)</f>
        <v>202608</v>
      </c>
      <c r="F48" s="20" t="n">
        <f aca="false">D48/SUMIFS($D$2:$D$176,$B$2:$B$176,B48)</f>
        <v>0.142857142857143</v>
      </c>
      <c r="G48" s="11" t="n">
        <f aca="false">INDEX(Forecast!$B$8:$Z$8,1,(B48)+13)*F48</f>
        <v>16144.5032700093</v>
      </c>
      <c r="H48" s="11" t="n">
        <f aca="false">IF(B48&gt;=0,(INDEX(Forecast!$B$8:$Z$8,1,(B48)+13)*Inputs!$B$20+Inputs!$B$22)/7,IF(C48=202610,(Inputs!$B$21+Inputs!$B$22)/7,0))</f>
        <v>0</v>
      </c>
      <c r="I48" s="11" t="n">
        <f aca="false">IF(DAY(A48)=22,SUMIFS($H$2:$H$176,$C$2:$C$176,E48),0)</f>
        <v>0</v>
      </c>
      <c r="J48" s="11" t="n">
        <f aca="false">IF(DAY(A48)=1,Inputs!$B$24,0)</f>
        <v>0</v>
      </c>
      <c r="K48" s="11" t="n">
        <f aca="false">IF(DAY(A48)=1,Inputs!$B$30*Inputs!$B$31/12,0)</f>
        <v>0</v>
      </c>
      <c r="L48" s="11" t="n">
        <f aca="false">IF(DAY(A48)=20,Inputs!$B$25*SUMIFS($G$2:$G$176,$C$2:$C$176,E48),0)</f>
        <v>0</v>
      </c>
    </row>
    <row r="49" customFormat="false" ht="15" hidden="false" customHeight="false" outlineLevel="0" collapsed="false">
      <c r="A49" s="29" t="n">
        <v>46284</v>
      </c>
      <c r="B49" s="30" t="n">
        <f aca="false">INT((A49-Inputs!$B$5)/7)</f>
        <v>-6</v>
      </c>
      <c r="C49" s="30" t="n">
        <f aca="false">YEAR(A49)*100+MONTH(A49)</f>
        <v>202609</v>
      </c>
      <c r="D49" s="20" t="n">
        <f aca="false">IF(AND(A49&gt;=Inputs!$B$33,A49&lt;=Inputs!$B$34),INDEX(Inputs!$B$38:$B$49,11)*30*Inputs!$B$35/7,IF(MONTH(A49)=11,INDEX(Inputs!$B$38:$B$49,11)*30*(1-Inputs!$B$35)/23,INDEX(Inputs!$B$38:$B$49,MONTH(A49))))</f>
        <v>0.9</v>
      </c>
      <c r="E49" s="30" t="n">
        <f aca="false">IF(MONTH(A49)=1,(YEAR(A49)-1)*100+12,YEAR(A49)*100+MONTH(A49)-1)</f>
        <v>202608</v>
      </c>
      <c r="F49" s="20" t="n">
        <f aca="false">D49/SUMIFS($D$2:$D$176,$B$2:$B$176,B49)</f>
        <v>0.142857142857143</v>
      </c>
      <c r="G49" s="11" t="n">
        <f aca="false">INDEX(Forecast!$B$8:$Z$8,1,(B49)+13)*F49</f>
        <v>16144.5032700093</v>
      </c>
      <c r="H49" s="11" t="n">
        <f aca="false">IF(B49&gt;=0,(INDEX(Forecast!$B$8:$Z$8,1,(B49)+13)*Inputs!$B$20+Inputs!$B$22)/7,IF(C49=202610,(Inputs!$B$21+Inputs!$B$22)/7,0))</f>
        <v>0</v>
      </c>
      <c r="I49" s="11" t="n">
        <f aca="false">IF(DAY(A49)=22,SUMIFS($H$2:$H$176,$C$2:$C$176,E49),0)</f>
        <v>0</v>
      </c>
      <c r="J49" s="11" t="n">
        <f aca="false">IF(DAY(A49)=1,Inputs!$B$24,0)</f>
        <v>0</v>
      </c>
      <c r="K49" s="11" t="n">
        <f aca="false">IF(DAY(A49)=1,Inputs!$B$30*Inputs!$B$31/12,0)</f>
        <v>0</v>
      </c>
      <c r="L49" s="11" t="n">
        <f aca="false">IF(DAY(A49)=20,Inputs!$B$25*SUMIFS($G$2:$G$176,$C$2:$C$176,E49),0)</f>
        <v>0</v>
      </c>
    </row>
    <row r="50" customFormat="false" ht="15" hidden="false" customHeight="false" outlineLevel="0" collapsed="false">
      <c r="A50" s="29" t="n">
        <v>46285</v>
      </c>
      <c r="B50" s="30" t="n">
        <f aca="false">INT((A50-Inputs!$B$5)/7)</f>
        <v>-6</v>
      </c>
      <c r="C50" s="30" t="n">
        <f aca="false">YEAR(A50)*100+MONTH(A50)</f>
        <v>202609</v>
      </c>
      <c r="D50" s="20" t="n">
        <f aca="false">IF(AND(A50&gt;=Inputs!$B$33,A50&lt;=Inputs!$B$34),INDEX(Inputs!$B$38:$B$49,11)*30*Inputs!$B$35/7,IF(MONTH(A50)=11,INDEX(Inputs!$B$38:$B$49,11)*30*(1-Inputs!$B$35)/23,INDEX(Inputs!$B$38:$B$49,MONTH(A50))))</f>
        <v>0.9</v>
      </c>
      <c r="E50" s="30" t="n">
        <f aca="false">IF(MONTH(A50)=1,(YEAR(A50)-1)*100+12,YEAR(A50)*100+MONTH(A50)-1)</f>
        <v>202608</v>
      </c>
      <c r="F50" s="20" t="n">
        <f aca="false">D50/SUMIFS($D$2:$D$176,$B$2:$B$176,B50)</f>
        <v>0.142857142857143</v>
      </c>
      <c r="G50" s="11" t="n">
        <f aca="false">INDEX(Forecast!$B$8:$Z$8,1,(B50)+13)*F50</f>
        <v>16144.5032700093</v>
      </c>
      <c r="H50" s="11" t="n">
        <f aca="false">IF(B50&gt;=0,(INDEX(Forecast!$B$8:$Z$8,1,(B50)+13)*Inputs!$B$20+Inputs!$B$22)/7,IF(C50=202610,(Inputs!$B$21+Inputs!$B$22)/7,0))</f>
        <v>0</v>
      </c>
      <c r="I50" s="11" t="n">
        <f aca="false">IF(DAY(A50)=22,SUMIFS($H$2:$H$176,$C$2:$C$176,E50),0)</f>
        <v>0</v>
      </c>
      <c r="J50" s="11" t="n">
        <f aca="false">IF(DAY(A50)=1,Inputs!$B$24,0)</f>
        <v>0</v>
      </c>
      <c r="K50" s="11" t="n">
        <f aca="false">IF(DAY(A50)=1,Inputs!$B$30*Inputs!$B$31/12,0)</f>
        <v>0</v>
      </c>
      <c r="L50" s="11" t="n">
        <f aca="false">IF(DAY(A50)=20,Inputs!$B$25*SUMIFS($G$2:$G$176,$C$2:$C$176,E50),0)</f>
        <v>17687.2002491436</v>
      </c>
    </row>
    <row r="51" customFormat="false" ht="15" hidden="false" customHeight="false" outlineLevel="0" collapsed="false">
      <c r="A51" s="29" t="n">
        <v>46286</v>
      </c>
      <c r="B51" s="30" t="n">
        <f aca="false">INT((A51-Inputs!$B$5)/7)</f>
        <v>-5</v>
      </c>
      <c r="C51" s="30" t="n">
        <f aca="false">YEAR(A51)*100+MONTH(A51)</f>
        <v>202609</v>
      </c>
      <c r="D51" s="20" t="n">
        <f aca="false">IF(AND(A51&gt;=Inputs!$B$33,A51&lt;=Inputs!$B$34),INDEX(Inputs!$B$38:$B$49,11)*30*Inputs!$B$35/7,IF(MONTH(A51)=11,INDEX(Inputs!$B$38:$B$49,11)*30*(1-Inputs!$B$35)/23,INDEX(Inputs!$B$38:$B$49,MONTH(A51))))</f>
        <v>0.9</v>
      </c>
      <c r="E51" s="30" t="n">
        <f aca="false">IF(MONTH(A51)=1,(YEAR(A51)-1)*100+12,YEAR(A51)*100+MONTH(A51)-1)</f>
        <v>202608</v>
      </c>
      <c r="F51" s="20" t="n">
        <f aca="false">D51/SUMIFS($D$2:$D$176,$B$2:$B$176,B51)</f>
        <v>0.142857142857143</v>
      </c>
      <c r="G51" s="11" t="n">
        <f aca="false">INDEX(Forecast!$B$8:$Z$8,1,(B51)+13)*F51</f>
        <v>16144.5032700093</v>
      </c>
      <c r="H51" s="11" t="n">
        <f aca="false">IF(B51&gt;=0,(INDEX(Forecast!$B$8:$Z$8,1,(B51)+13)*Inputs!$B$20+Inputs!$B$22)/7,IF(C51=202610,(Inputs!$B$21+Inputs!$B$22)/7,0))</f>
        <v>0</v>
      </c>
      <c r="I51" s="11" t="n">
        <f aca="false">IF(DAY(A51)=22,SUMIFS($H$2:$H$176,$C$2:$C$176,E51),0)</f>
        <v>0</v>
      </c>
      <c r="J51" s="11" t="n">
        <f aca="false">IF(DAY(A51)=1,Inputs!$B$24,0)</f>
        <v>0</v>
      </c>
      <c r="K51" s="11" t="n">
        <f aca="false">IF(DAY(A51)=1,Inputs!$B$30*Inputs!$B$31/12,0)</f>
        <v>0</v>
      </c>
      <c r="L51" s="11" t="n">
        <f aca="false">IF(DAY(A51)=20,Inputs!$B$25*SUMIFS($G$2:$G$176,$C$2:$C$176,E51),0)</f>
        <v>0</v>
      </c>
    </row>
    <row r="52" customFormat="false" ht="15" hidden="false" customHeight="false" outlineLevel="0" collapsed="false">
      <c r="A52" s="29" t="n">
        <v>46287</v>
      </c>
      <c r="B52" s="30" t="n">
        <f aca="false">INT((A52-Inputs!$B$5)/7)</f>
        <v>-5</v>
      </c>
      <c r="C52" s="30" t="n">
        <f aca="false">YEAR(A52)*100+MONTH(A52)</f>
        <v>202609</v>
      </c>
      <c r="D52" s="20" t="n">
        <f aca="false">IF(AND(A52&gt;=Inputs!$B$33,A52&lt;=Inputs!$B$34),INDEX(Inputs!$B$38:$B$49,11)*30*Inputs!$B$35/7,IF(MONTH(A52)=11,INDEX(Inputs!$B$38:$B$49,11)*30*(1-Inputs!$B$35)/23,INDEX(Inputs!$B$38:$B$49,MONTH(A52))))</f>
        <v>0.9</v>
      </c>
      <c r="E52" s="30" t="n">
        <f aca="false">IF(MONTH(A52)=1,(YEAR(A52)-1)*100+12,YEAR(A52)*100+MONTH(A52)-1)</f>
        <v>202608</v>
      </c>
      <c r="F52" s="20" t="n">
        <f aca="false">D52/SUMIFS($D$2:$D$176,$B$2:$B$176,B52)</f>
        <v>0.142857142857143</v>
      </c>
      <c r="G52" s="11" t="n">
        <f aca="false">INDEX(Forecast!$B$8:$Z$8,1,(B52)+13)*F52</f>
        <v>16144.5032700093</v>
      </c>
      <c r="H52" s="11" t="n">
        <f aca="false">IF(B52&gt;=0,(INDEX(Forecast!$B$8:$Z$8,1,(B52)+13)*Inputs!$B$20+Inputs!$B$22)/7,IF(C52=202610,(Inputs!$B$21+Inputs!$B$22)/7,0))</f>
        <v>0</v>
      </c>
      <c r="I52" s="11" t="n">
        <f aca="false">IF(DAY(A52)=22,SUMIFS($H$2:$H$176,$C$2:$C$176,E52),0)</f>
        <v>0</v>
      </c>
      <c r="J52" s="11" t="n">
        <f aca="false">IF(DAY(A52)=1,Inputs!$B$24,0)</f>
        <v>0</v>
      </c>
      <c r="K52" s="11" t="n">
        <f aca="false">IF(DAY(A52)=1,Inputs!$B$30*Inputs!$B$31/12,0)</f>
        <v>0</v>
      </c>
      <c r="L52" s="11" t="n">
        <f aca="false">IF(DAY(A52)=20,Inputs!$B$25*SUMIFS($G$2:$G$176,$C$2:$C$176,E52),0)</f>
        <v>0</v>
      </c>
    </row>
    <row r="53" customFormat="false" ht="15" hidden="false" customHeight="false" outlineLevel="0" collapsed="false">
      <c r="A53" s="29" t="n">
        <v>46288</v>
      </c>
      <c r="B53" s="30" t="n">
        <f aca="false">INT((A53-Inputs!$B$5)/7)</f>
        <v>-5</v>
      </c>
      <c r="C53" s="30" t="n">
        <f aca="false">YEAR(A53)*100+MONTH(A53)</f>
        <v>202609</v>
      </c>
      <c r="D53" s="20" t="n">
        <f aca="false">IF(AND(A53&gt;=Inputs!$B$33,A53&lt;=Inputs!$B$34),INDEX(Inputs!$B$38:$B$49,11)*30*Inputs!$B$35/7,IF(MONTH(A53)=11,INDEX(Inputs!$B$38:$B$49,11)*30*(1-Inputs!$B$35)/23,INDEX(Inputs!$B$38:$B$49,MONTH(A53))))</f>
        <v>0.9</v>
      </c>
      <c r="E53" s="30" t="n">
        <f aca="false">IF(MONTH(A53)=1,(YEAR(A53)-1)*100+12,YEAR(A53)*100+MONTH(A53)-1)</f>
        <v>202608</v>
      </c>
      <c r="F53" s="20" t="n">
        <f aca="false">D53/SUMIFS($D$2:$D$176,$B$2:$B$176,B53)</f>
        <v>0.142857142857143</v>
      </c>
      <c r="G53" s="11" t="n">
        <f aca="false">INDEX(Forecast!$B$8:$Z$8,1,(B53)+13)*F53</f>
        <v>16144.5032700093</v>
      </c>
      <c r="H53" s="11" t="n">
        <f aca="false">IF(B53&gt;=0,(INDEX(Forecast!$B$8:$Z$8,1,(B53)+13)*Inputs!$B$20+Inputs!$B$22)/7,IF(C53=202610,(Inputs!$B$21+Inputs!$B$22)/7,0))</f>
        <v>0</v>
      </c>
      <c r="I53" s="11" t="n">
        <f aca="false">IF(DAY(A53)=22,SUMIFS($H$2:$H$176,$C$2:$C$176,E53),0)</f>
        <v>0</v>
      </c>
      <c r="J53" s="11" t="n">
        <f aca="false">IF(DAY(A53)=1,Inputs!$B$24,0)</f>
        <v>0</v>
      </c>
      <c r="K53" s="11" t="n">
        <f aca="false">IF(DAY(A53)=1,Inputs!$B$30*Inputs!$B$31/12,0)</f>
        <v>0</v>
      </c>
      <c r="L53" s="11" t="n">
        <f aca="false">IF(DAY(A53)=20,Inputs!$B$25*SUMIFS($G$2:$G$176,$C$2:$C$176,E53),0)</f>
        <v>0</v>
      </c>
    </row>
    <row r="54" customFormat="false" ht="15" hidden="false" customHeight="false" outlineLevel="0" collapsed="false">
      <c r="A54" s="29" t="n">
        <v>46289</v>
      </c>
      <c r="B54" s="30" t="n">
        <f aca="false">INT((A54-Inputs!$B$5)/7)</f>
        <v>-5</v>
      </c>
      <c r="C54" s="30" t="n">
        <f aca="false">YEAR(A54)*100+MONTH(A54)</f>
        <v>202609</v>
      </c>
      <c r="D54" s="20" t="n">
        <f aca="false">IF(AND(A54&gt;=Inputs!$B$33,A54&lt;=Inputs!$B$34),INDEX(Inputs!$B$38:$B$49,11)*30*Inputs!$B$35/7,IF(MONTH(A54)=11,INDEX(Inputs!$B$38:$B$49,11)*30*(1-Inputs!$B$35)/23,INDEX(Inputs!$B$38:$B$49,MONTH(A54))))</f>
        <v>0.9</v>
      </c>
      <c r="E54" s="30" t="n">
        <f aca="false">IF(MONTH(A54)=1,(YEAR(A54)-1)*100+12,YEAR(A54)*100+MONTH(A54)-1)</f>
        <v>202608</v>
      </c>
      <c r="F54" s="20" t="n">
        <f aca="false">D54/SUMIFS($D$2:$D$176,$B$2:$B$176,B54)</f>
        <v>0.142857142857143</v>
      </c>
      <c r="G54" s="11" t="n">
        <f aca="false">INDEX(Forecast!$B$8:$Z$8,1,(B54)+13)*F54</f>
        <v>16144.5032700093</v>
      </c>
      <c r="H54" s="11" t="n">
        <f aca="false">IF(B54&gt;=0,(INDEX(Forecast!$B$8:$Z$8,1,(B54)+13)*Inputs!$B$20+Inputs!$B$22)/7,IF(C54=202610,(Inputs!$B$21+Inputs!$B$22)/7,0))</f>
        <v>0</v>
      </c>
      <c r="I54" s="11" t="n">
        <f aca="false">IF(DAY(A54)=22,SUMIFS($H$2:$H$176,$C$2:$C$176,E54),0)</f>
        <v>0</v>
      </c>
      <c r="J54" s="11" t="n">
        <f aca="false">IF(DAY(A54)=1,Inputs!$B$24,0)</f>
        <v>0</v>
      </c>
      <c r="K54" s="11" t="n">
        <f aca="false">IF(DAY(A54)=1,Inputs!$B$30*Inputs!$B$31/12,0)</f>
        <v>0</v>
      </c>
      <c r="L54" s="11" t="n">
        <f aca="false">IF(DAY(A54)=20,Inputs!$B$25*SUMIFS($G$2:$G$176,$C$2:$C$176,E54),0)</f>
        <v>0</v>
      </c>
    </row>
    <row r="55" customFormat="false" ht="15" hidden="false" customHeight="false" outlineLevel="0" collapsed="false">
      <c r="A55" s="29" t="n">
        <v>46290</v>
      </c>
      <c r="B55" s="30" t="n">
        <f aca="false">INT((A55-Inputs!$B$5)/7)</f>
        <v>-5</v>
      </c>
      <c r="C55" s="30" t="n">
        <f aca="false">YEAR(A55)*100+MONTH(A55)</f>
        <v>202609</v>
      </c>
      <c r="D55" s="20" t="n">
        <f aca="false">IF(AND(A55&gt;=Inputs!$B$33,A55&lt;=Inputs!$B$34),INDEX(Inputs!$B$38:$B$49,11)*30*Inputs!$B$35/7,IF(MONTH(A55)=11,INDEX(Inputs!$B$38:$B$49,11)*30*(1-Inputs!$B$35)/23,INDEX(Inputs!$B$38:$B$49,MONTH(A55))))</f>
        <v>0.9</v>
      </c>
      <c r="E55" s="30" t="n">
        <f aca="false">IF(MONTH(A55)=1,(YEAR(A55)-1)*100+12,YEAR(A55)*100+MONTH(A55)-1)</f>
        <v>202608</v>
      </c>
      <c r="F55" s="20" t="n">
        <f aca="false">D55/SUMIFS($D$2:$D$176,$B$2:$B$176,B55)</f>
        <v>0.142857142857143</v>
      </c>
      <c r="G55" s="11" t="n">
        <f aca="false">INDEX(Forecast!$B$8:$Z$8,1,(B55)+13)*F55</f>
        <v>16144.5032700093</v>
      </c>
      <c r="H55" s="11" t="n">
        <f aca="false">IF(B55&gt;=0,(INDEX(Forecast!$B$8:$Z$8,1,(B55)+13)*Inputs!$B$20+Inputs!$B$22)/7,IF(C55=202610,(Inputs!$B$21+Inputs!$B$22)/7,0))</f>
        <v>0</v>
      </c>
      <c r="I55" s="11" t="n">
        <f aca="false">IF(DAY(A55)=22,SUMIFS($H$2:$H$176,$C$2:$C$176,E55),0)</f>
        <v>0</v>
      </c>
      <c r="J55" s="11" t="n">
        <f aca="false">IF(DAY(A55)=1,Inputs!$B$24,0)</f>
        <v>0</v>
      </c>
      <c r="K55" s="11" t="n">
        <f aca="false">IF(DAY(A55)=1,Inputs!$B$30*Inputs!$B$31/12,0)</f>
        <v>0</v>
      </c>
      <c r="L55" s="11" t="n">
        <f aca="false">IF(DAY(A55)=20,Inputs!$B$25*SUMIFS($G$2:$G$176,$C$2:$C$176,E55),0)</f>
        <v>0</v>
      </c>
    </row>
    <row r="56" customFormat="false" ht="15" hidden="false" customHeight="false" outlineLevel="0" collapsed="false">
      <c r="A56" s="29" t="n">
        <v>46291</v>
      </c>
      <c r="B56" s="30" t="n">
        <f aca="false">INT((A56-Inputs!$B$5)/7)</f>
        <v>-5</v>
      </c>
      <c r="C56" s="30" t="n">
        <f aca="false">YEAR(A56)*100+MONTH(A56)</f>
        <v>202609</v>
      </c>
      <c r="D56" s="20" t="n">
        <f aca="false">IF(AND(A56&gt;=Inputs!$B$33,A56&lt;=Inputs!$B$34),INDEX(Inputs!$B$38:$B$49,11)*30*Inputs!$B$35/7,IF(MONTH(A56)=11,INDEX(Inputs!$B$38:$B$49,11)*30*(1-Inputs!$B$35)/23,INDEX(Inputs!$B$38:$B$49,MONTH(A56))))</f>
        <v>0.9</v>
      </c>
      <c r="E56" s="30" t="n">
        <f aca="false">IF(MONTH(A56)=1,(YEAR(A56)-1)*100+12,YEAR(A56)*100+MONTH(A56)-1)</f>
        <v>202608</v>
      </c>
      <c r="F56" s="20" t="n">
        <f aca="false">D56/SUMIFS($D$2:$D$176,$B$2:$B$176,B56)</f>
        <v>0.142857142857143</v>
      </c>
      <c r="G56" s="11" t="n">
        <f aca="false">INDEX(Forecast!$B$8:$Z$8,1,(B56)+13)*F56</f>
        <v>16144.5032700093</v>
      </c>
      <c r="H56" s="11" t="n">
        <f aca="false">IF(B56&gt;=0,(INDEX(Forecast!$B$8:$Z$8,1,(B56)+13)*Inputs!$B$20+Inputs!$B$22)/7,IF(C56=202610,(Inputs!$B$21+Inputs!$B$22)/7,0))</f>
        <v>0</v>
      </c>
      <c r="I56" s="11" t="n">
        <f aca="false">IF(DAY(A56)=22,SUMIFS($H$2:$H$176,$C$2:$C$176,E56),0)</f>
        <v>0</v>
      </c>
      <c r="J56" s="11" t="n">
        <f aca="false">IF(DAY(A56)=1,Inputs!$B$24,0)</f>
        <v>0</v>
      </c>
      <c r="K56" s="11" t="n">
        <f aca="false">IF(DAY(A56)=1,Inputs!$B$30*Inputs!$B$31/12,0)</f>
        <v>0</v>
      </c>
      <c r="L56" s="11" t="n">
        <f aca="false">IF(DAY(A56)=20,Inputs!$B$25*SUMIFS($G$2:$G$176,$C$2:$C$176,E56),0)</f>
        <v>0</v>
      </c>
    </row>
    <row r="57" customFormat="false" ht="15" hidden="false" customHeight="false" outlineLevel="0" collapsed="false">
      <c r="A57" s="29" t="n">
        <v>46292</v>
      </c>
      <c r="B57" s="30" t="n">
        <f aca="false">INT((A57-Inputs!$B$5)/7)</f>
        <v>-5</v>
      </c>
      <c r="C57" s="30" t="n">
        <f aca="false">YEAR(A57)*100+MONTH(A57)</f>
        <v>202609</v>
      </c>
      <c r="D57" s="20" t="n">
        <f aca="false">IF(AND(A57&gt;=Inputs!$B$33,A57&lt;=Inputs!$B$34),INDEX(Inputs!$B$38:$B$49,11)*30*Inputs!$B$35/7,IF(MONTH(A57)=11,INDEX(Inputs!$B$38:$B$49,11)*30*(1-Inputs!$B$35)/23,INDEX(Inputs!$B$38:$B$49,MONTH(A57))))</f>
        <v>0.9</v>
      </c>
      <c r="E57" s="30" t="n">
        <f aca="false">IF(MONTH(A57)=1,(YEAR(A57)-1)*100+12,YEAR(A57)*100+MONTH(A57)-1)</f>
        <v>202608</v>
      </c>
      <c r="F57" s="20" t="n">
        <f aca="false">D57/SUMIFS($D$2:$D$176,$B$2:$B$176,B57)</f>
        <v>0.142857142857143</v>
      </c>
      <c r="G57" s="11" t="n">
        <f aca="false">INDEX(Forecast!$B$8:$Z$8,1,(B57)+13)*F57</f>
        <v>16144.5032700093</v>
      </c>
      <c r="H57" s="11" t="n">
        <f aca="false">IF(B57&gt;=0,(INDEX(Forecast!$B$8:$Z$8,1,(B57)+13)*Inputs!$B$20+Inputs!$B$22)/7,IF(C57=202610,(Inputs!$B$21+Inputs!$B$22)/7,0))</f>
        <v>0</v>
      </c>
      <c r="I57" s="11" t="n">
        <f aca="false">IF(DAY(A57)=22,SUMIFS($H$2:$H$176,$C$2:$C$176,E57),0)</f>
        <v>0</v>
      </c>
      <c r="J57" s="11" t="n">
        <f aca="false">IF(DAY(A57)=1,Inputs!$B$24,0)</f>
        <v>0</v>
      </c>
      <c r="K57" s="11" t="n">
        <f aca="false">IF(DAY(A57)=1,Inputs!$B$30*Inputs!$B$31/12,0)</f>
        <v>0</v>
      </c>
      <c r="L57" s="11" t="n">
        <f aca="false">IF(DAY(A57)=20,Inputs!$B$25*SUMIFS($G$2:$G$176,$C$2:$C$176,E57),0)</f>
        <v>0</v>
      </c>
    </row>
    <row r="58" customFormat="false" ht="15" hidden="false" customHeight="false" outlineLevel="0" collapsed="false">
      <c r="A58" s="29" t="n">
        <v>46293</v>
      </c>
      <c r="B58" s="30" t="n">
        <f aca="false">INT((A58-Inputs!$B$5)/7)</f>
        <v>-4</v>
      </c>
      <c r="C58" s="30" t="n">
        <f aca="false">YEAR(A58)*100+MONTH(A58)</f>
        <v>202609</v>
      </c>
      <c r="D58" s="20" t="n">
        <f aca="false">IF(AND(A58&gt;=Inputs!$B$33,A58&lt;=Inputs!$B$34),INDEX(Inputs!$B$38:$B$49,11)*30*Inputs!$B$35/7,IF(MONTH(A58)=11,INDEX(Inputs!$B$38:$B$49,11)*30*(1-Inputs!$B$35)/23,INDEX(Inputs!$B$38:$B$49,MONTH(A58))))</f>
        <v>0.9</v>
      </c>
      <c r="E58" s="30" t="n">
        <f aca="false">IF(MONTH(A58)=1,(YEAR(A58)-1)*100+12,YEAR(A58)*100+MONTH(A58)-1)</f>
        <v>202608</v>
      </c>
      <c r="F58" s="20" t="n">
        <f aca="false">D58/SUMIFS($D$2:$D$176,$B$2:$B$176,B58)</f>
        <v>0.134328358208955</v>
      </c>
      <c r="G58" s="11" t="n">
        <f aca="false">INDEX(Forecast!$B$8:$Z$8,1,(B58)+13)*F58</f>
        <v>16144.5032700093</v>
      </c>
      <c r="H58" s="11" t="n">
        <f aca="false">IF(B58&gt;=0,(INDEX(Forecast!$B$8:$Z$8,1,(B58)+13)*Inputs!$B$20+Inputs!$B$22)/7,IF(C58=202610,(Inputs!$B$21+Inputs!$B$22)/7,0))</f>
        <v>0</v>
      </c>
      <c r="I58" s="11" t="n">
        <f aca="false">IF(DAY(A58)=22,SUMIFS($H$2:$H$176,$C$2:$C$176,E58),0)</f>
        <v>0</v>
      </c>
      <c r="J58" s="11" t="n">
        <f aca="false">IF(DAY(A58)=1,Inputs!$B$24,0)</f>
        <v>0</v>
      </c>
      <c r="K58" s="11" t="n">
        <f aca="false">IF(DAY(A58)=1,Inputs!$B$30*Inputs!$B$31/12,0)</f>
        <v>0</v>
      </c>
      <c r="L58" s="11" t="n">
        <f aca="false">IF(DAY(A58)=20,Inputs!$B$25*SUMIFS($G$2:$G$176,$C$2:$C$176,E58),0)</f>
        <v>0</v>
      </c>
    </row>
    <row r="59" customFormat="false" ht="15" hidden="false" customHeight="false" outlineLevel="0" collapsed="false">
      <c r="A59" s="29" t="n">
        <v>46294</v>
      </c>
      <c r="B59" s="30" t="n">
        <f aca="false">INT((A59-Inputs!$B$5)/7)</f>
        <v>-4</v>
      </c>
      <c r="C59" s="30" t="n">
        <f aca="false">YEAR(A59)*100+MONTH(A59)</f>
        <v>202609</v>
      </c>
      <c r="D59" s="20" t="n">
        <f aca="false">IF(AND(A59&gt;=Inputs!$B$33,A59&lt;=Inputs!$B$34),INDEX(Inputs!$B$38:$B$49,11)*30*Inputs!$B$35/7,IF(MONTH(A59)=11,INDEX(Inputs!$B$38:$B$49,11)*30*(1-Inputs!$B$35)/23,INDEX(Inputs!$B$38:$B$49,MONTH(A59))))</f>
        <v>0.9</v>
      </c>
      <c r="E59" s="30" t="n">
        <f aca="false">IF(MONTH(A59)=1,(YEAR(A59)-1)*100+12,YEAR(A59)*100+MONTH(A59)-1)</f>
        <v>202608</v>
      </c>
      <c r="F59" s="20" t="n">
        <f aca="false">D59/SUMIFS($D$2:$D$176,$B$2:$B$176,B59)</f>
        <v>0.134328358208955</v>
      </c>
      <c r="G59" s="11" t="n">
        <f aca="false">INDEX(Forecast!$B$8:$Z$8,1,(B59)+13)*F59</f>
        <v>16144.5032700093</v>
      </c>
      <c r="H59" s="11" t="n">
        <f aca="false">IF(B59&gt;=0,(INDEX(Forecast!$B$8:$Z$8,1,(B59)+13)*Inputs!$B$20+Inputs!$B$22)/7,IF(C59=202610,(Inputs!$B$21+Inputs!$B$22)/7,0))</f>
        <v>0</v>
      </c>
      <c r="I59" s="11" t="n">
        <f aca="false">IF(DAY(A59)=22,SUMIFS($H$2:$H$176,$C$2:$C$176,E59),0)</f>
        <v>0</v>
      </c>
      <c r="J59" s="11" t="n">
        <f aca="false">IF(DAY(A59)=1,Inputs!$B$24,0)</f>
        <v>0</v>
      </c>
      <c r="K59" s="11" t="n">
        <f aca="false">IF(DAY(A59)=1,Inputs!$B$30*Inputs!$B$31/12,0)</f>
        <v>0</v>
      </c>
      <c r="L59" s="11" t="n">
        <f aca="false">IF(DAY(A59)=20,Inputs!$B$25*SUMIFS($G$2:$G$176,$C$2:$C$176,E59),0)</f>
        <v>0</v>
      </c>
    </row>
    <row r="60" customFormat="false" ht="15" hidden="false" customHeight="false" outlineLevel="0" collapsed="false">
      <c r="A60" s="29" t="n">
        <v>46295</v>
      </c>
      <c r="B60" s="30" t="n">
        <f aca="false">INT((A60-Inputs!$B$5)/7)</f>
        <v>-4</v>
      </c>
      <c r="C60" s="30" t="n">
        <f aca="false">YEAR(A60)*100+MONTH(A60)</f>
        <v>202609</v>
      </c>
      <c r="D60" s="20" t="n">
        <f aca="false">IF(AND(A60&gt;=Inputs!$B$33,A60&lt;=Inputs!$B$34),INDEX(Inputs!$B$38:$B$49,11)*30*Inputs!$B$35/7,IF(MONTH(A60)=11,INDEX(Inputs!$B$38:$B$49,11)*30*(1-Inputs!$B$35)/23,INDEX(Inputs!$B$38:$B$49,MONTH(A60))))</f>
        <v>0.9</v>
      </c>
      <c r="E60" s="30" t="n">
        <f aca="false">IF(MONTH(A60)=1,(YEAR(A60)-1)*100+12,YEAR(A60)*100+MONTH(A60)-1)</f>
        <v>202608</v>
      </c>
      <c r="F60" s="20" t="n">
        <f aca="false">D60/SUMIFS($D$2:$D$176,$B$2:$B$176,B60)</f>
        <v>0.134328358208955</v>
      </c>
      <c r="G60" s="11" t="n">
        <f aca="false">INDEX(Forecast!$B$8:$Z$8,1,(B60)+13)*F60</f>
        <v>16144.5032700093</v>
      </c>
      <c r="H60" s="11" t="n">
        <f aca="false">IF(B60&gt;=0,(INDEX(Forecast!$B$8:$Z$8,1,(B60)+13)*Inputs!$B$20+Inputs!$B$22)/7,IF(C60=202610,(Inputs!$B$21+Inputs!$B$22)/7,0))</f>
        <v>0</v>
      </c>
      <c r="I60" s="11" t="n">
        <f aca="false">IF(DAY(A60)=22,SUMIFS($H$2:$H$176,$C$2:$C$176,E60),0)</f>
        <v>0</v>
      </c>
      <c r="J60" s="11" t="n">
        <f aca="false">IF(DAY(A60)=1,Inputs!$B$24,0)</f>
        <v>0</v>
      </c>
      <c r="K60" s="11" t="n">
        <f aca="false">IF(DAY(A60)=1,Inputs!$B$30*Inputs!$B$31/12,0)</f>
        <v>0</v>
      </c>
      <c r="L60" s="11" t="n">
        <f aca="false">IF(DAY(A60)=20,Inputs!$B$25*SUMIFS($G$2:$G$176,$C$2:$C$176,E60),0)</f>
        <v>0</v>
      </c>
    </row>
    <row r="61" customFormat="false" ht="15" hidden="false" customHeight="false" outlineLevel="0" collapsed="false">
      <c r="A61" s="29" t="n">
        <v>46296</v>
      </c>
      <c r="B61" s="30" t="n">
        <f aca="false">INT((A61-Inputs!$B$5)/7)</f>
        <v>-4</v>
      </c>
      <c r="C61" s="30" t="n">
        <f aca="false">YEAR(A61)*100+MONTH(A61)</f>
        <v>202610</v>
      </c>
      <c r="D61" s="20" t="n">
        <f aca="false">IF(AND(A61&gt;=Inputs!$B$33,A61&lt;=Inputs!$B$34),INDEX(Inputs!$B$38:$B$49,11)*30*Inputs!$B$35/7,IF(MONTH(A61)=11,INDEX(Inputs!$B$38:$B$49,11)*30*(1-Inputs!$B$35)/23,INDEX(Inputs!$B$38:$B$49,MONTH(A61))))</f>
        <v>1</v>
      </c>
      <c r="E61" s="30" t="n">
        <f aca="false">IF(MONTH(A61)=1,(YEAR(A61)-1)*100+12,YEAR(A61)*100+MONTH(A61)-1)</f>
        <v>202609</v>
      </c>
      <c r="F61" s="20" t="n">
        <f aca="false">D61/SUMIFS($D$2:$D$176,$B$2:$B$176,B61)</f>
        <v>0.149253731343284</v>
      </c>
      <c r="G61" s="11" t="n">
        <f aca="false">INDEX(Forecast!$B$8:$Z$8,1,(B61)+13)*F61</f>
        <v>17938.336966677</v>
      </c>
      <c r="H61" s="11" t="n">
        <f aca="false">IF(B61&gt;=0,(INDEX(Forecast!$B$8:$Z$8,1,(B61)+13)*Inputs!$B$20+Inputs!$B$22)/7,IF(C61=202610,(Inputs!$B$21+Inputs!$B$22)/7,0))</f>
        <v>4276.10446233928</v>
      </c>
      <c r="I61" s="11" t="n">
        <f aca="false">IF(DAY(A61)=22,SUMIFS($H$2:$H$176,$C$2:$C$176,E61),0)</f>
        <v>0</v>
      </c>
      <c r="J61" s="11" t="n">
        <f aca="false">IF(DAY(A61)=1,Inputs!$B$24,0)</f>
        <v>24000</v>
      </c>
      <c r="K61" s="11" t="n">
        <f aca="false">IF(DAY(A61)=1,Inputs!$B$30*Inputs!$B$31/12,0)</f>
        <v>3666.66666666667</v>
      </c>
      <c r="L61" s="11" t="n">
        <f aca="false">IF(DAY(A61)=20,Inputs!$B$25*SUMIFS($G$2:$G$176,$C$2:$C$176,E61),0)</f>
        <v>0</v>
      </c>
    </row>
    <row r="62" customFormat="false" ht="15" hidden="false" customHeight="false" outlineLevel="0" collapsed="false">
      <c r="A62" s="29" t="n">
        <v>46297</v>
      </c>
      <c r="B62" s="30" t="n">
        <f aca="false">INT((A62-Inputs!$B$5)/7)</f>
        <v>-4</v>
      </c>
      <c r="C62" s="30" t="n">
        <f aca="false">YEAR(A62)*100+MONTH(A62)</f>
        <v>202610</v>
      </c>
      <c r="D62" s="20" t="n">
        <f aca="false">IF(AND(A62&gt;=Inputs!$B$33,A62&lt;=Inputs!$B$34),INDEX(Inputs!$B$38:$B$49,11)*30*Inputs!$B$35/7,IF(MONTH(A62)=11,INDEX(Inputs!$B$38:$B$49,11)*30*(1-Inputs!$B$35)/23,INDEX(Inputs!$B$38:$B$49,MONTH(A62))))</f>
        <v>1</v>
      </c>
      <c r="E62" s="30" t="n">
        <f aca="false">IF(MONTH(A62)=1,(YEAR(A62)-1)*100+12,YEAR(A62)*100+MONTH(A62)-1)</f>
        <v>202609</v>
      </c>
      <c r="F62" s="20" t="n">
        <f aca="false">D62/SUMIFS($D$2:$D$176,$B$2:$B$176,B62)</f>
        <v>0.149253731343284</v>
      </c>
      <c r="G62" s="11" t="n">
        <f aca="false">INDEX(Forecast!$B$8:$Z$8,1,(B62)+13)*F62</f>
        <v>17938.336966677</v>
      </c>
      <c r="H62" s="11" t="n">
        <f aca="false">IF(B62&gt;=0,(INDEX(Forecast!$B$8:$Z$8,1,(B62)+13)*Inputs!$B$20+Inputs!$B$22)/7,IF(C62=202610,(Inputs!$B$21+Inputs!$B$22)/7,0))</f>
        <v>4276.10446233928</v>
      </c>
      <c r="I62" s="11" t="n">
        <f aca="false">IF(DAY(A62)=22,SUMIFS($H$2:$H$176,$C$2:$C$176,E62),0)</f>
        <v>0</v>
      </c>
      <c r="J62" s="11" t="n">
        <f aca="false">IF(DAY(A62)=1,Inputs!$B$24,0)</f>
        <v>0</v>
      </c>
      <c r="K62" s="11" t="n">
        <f aca="false">IF(DAY(A62)=1,Inputs!$B$30*Inputs!$B$31/12,0)</f>
        <v>0</v>
      </c>
      <c r="L62" s="11" t="n">
        <f aca="false">IF(DAY(A62)=20,Inputs!$B$25*SUMIFS($G$2:$G$176,$C$2:$C$176,E62),0)</f>
        <v>0</v>
      </c>
    </row>
    <row r="63" customFormat="false" ht="15" hidden="false" customHeight="false" outlineLevel="0" collapsed="false">
      <c r="A63" s="29" t="n">
        <v>46298</v>
      </c>
      <c r="B63" s="30" t="n">
        <f aca="false">INT((A63-Inputs!$B$5)/7)</f>
        <v>-4</v>
      </c>
      <c r="C63" s="30" t="n">
        <f aca="false">YEAR(A63)*100+MONTH(A63)</f>
        <v>202610</v>
      </c>
      <c r="D63" s="20" t="n">
        <f aca="false">IF(AND(A63&gt;=Inputs!$B$33,A63&lt;=Inputs!$B$34),INDEX(Inputs!$B$38:$B$49,11)*30*Inputs!$B$35/7,IF(MONTH(A63)=11,INDEX(Inputs!$B$38:$B$49,11)*30*(1-Inputs!$B$35)/23,INDEX(Inputs!$B$38:$B$49,MONTH(A63))))</f>
        <v>1</v>
      </c>
      <c r="E63" s="30" t="n">
        <f aca="false">IF(MONTH(A63)=1,(YEAR(A63)-1)*100+12,YEAR(A63)*100+MONTH(A63)-1)</f>
        <v>202609</v>
      </c>
      <c r="F63" s="20" t="n">
        <f aca="false">D63/SUMIFS($D$2:$D$176,$B$2:$B$176,B63)</f>
        <v>0.149253731343284</v>
      </c>
      <c r="G63" s="11" t="n">
        <f aca="false">INDEX(Forecast!$B$8:$Z$8,1,(B63)+13)*F63</f>
        <v>17938.336966677</v>
      </c>
      <c r="H63" s="11" t="n">
        <f aca="false">IF(B63&gt;=0,(INDEX(Forecast!$B$8:$Z$8,1,(B63)+13)*Inputs!$B$20+Inputs!$B$22)/7,IF(C63=202610,(Inputs!$B$21+Inputs!$B$22)/7,0))</f>
        <v>4276.10446233928</v>
      </c>
      <c r="I63" s="11" t="n">
        <f aca="false">IF(DAY(A63)=22,SUMIFS($H$2:$H$176,$C$2:$C$176,E63),0)</f>
        <v>0</v>
      </c>
      <c r="J63" s="11" t="n">
        <f aca="false">IF(DAY(A63)=1,Inputs!$B$24,0)</f>
        <v>0</v>
      </c>
      <c r="K63" s="11" t="n">
        <f aca="false">IF(DAY(A63)=1,Inputs!$B$30*Inputs!$B$31/12,0)</f>
        <v>0</v>
      </c>
      <c r="L63" s="11" t="n">
        <f aca="false">IF(DAY(A63)=20,Inputs!$B$25*SUMIFS($G$2:$G$176,$C$2:$C$176,E63),0)</f>
        <v>0</v>
      </c>
    </row>
    <row r="64" customFormat="false" ht="15" hidden="false" customHeight="false" outlineLevel="0" collapsed="false">
      <c r="A64" s="29" t="n">
        <v>46299</v>
      </c>
      <c r="B64" s="30" t="n">
        <f aca="false">INT((A64-Inputs!$B$5)/7)</f>
        <v>-4</v>
      </c>
      <c r="C64" s="30" t="n">
        <f aca="false">YEAR(A64)*100+MONTH(A64)</f>
        <v>202610</v>
      </c>
      <c r="D64" s="20" t="n">
        <f aca="false">IF(AND(A64&gt;=Inputs!$B$33,A64&lt;=Inputs!$B$34),INDEX(Inputs!$B$38:$B$49,11)*30*Inputs!$B$35/7,IF(MONTH(A64)=11,INDEX(Inputs!$B$38:$B$49,11)*30*(1-Inputs!$B$35)/23,INDEX(Inputs!$B$38:$B$49,MONTH(A64))))</f>
        <v>1</v>
      </c>
      <c r="E64" s="30" t="n">
        <f aca="false">IF(MONTH(A64)=1,(YEAR(A64)-1)*100+12,YEAR(A64)*100+MONTH(A64)-1)</f>
        <v>202609</v>
      </c>
      <c r="F64" s="20" t="n">
        <f aca="false">D64/SUMIFS($D$2:$D$176,$B$2:$B$176,B64)</f>
        <v>0.149253731343284</v>
      </c>
      <c r="G64" s="11" t="n">
        <f aca="false">INDEX(Forecast!$B$8:$Z$8,1,(B64)+13)*F64</f>
        <v>17938.336966677</v>
      </c>
      <c r="H64" s="11" t="n">
        <f aca="false">IF(B64&gt;=0,(INDEX(Forecast!$B$8:$Z$8,1,(B64)+13)*Inputs!$B$20+Inputs!$B$22)/7,IF(C64=202610,(Inputs!$B$21+Inputs!$B$22)/7,0))</f>
        <v>4276.10446233928</v>
      </c>
      <c r="I64" s="11" t="n">
        <f aca="false">IF(DAY(A64)=22,SUMIFS($H$2:$H$176,$C$2:$C$176,E64),0)</f>
        <v>0</v>
      </c>
      <c r="J64" s="11" t="n">
        <f aca="false">IF(DAY(A64)=1,Inputs!$B$24,0)</f>
        <v>0</v>
      </c>
      <c r="K64" s="11" t="n">
        <f aca="false">IF(DAY(A64)=1,Inputs!$B$30*Inputs!$B$31/12,0)</f>
        <v>0</v>
      </c>
      <c r="L64" s="11" t="n">
        <f aca="false">IF(DAY(A64)=20,Inputs!$B$25*SUMIFS($G$2:$G$176,$C$2:$C$176,E64),0)</f>
        <v>0</v>
      </c>
    </row>
    <row r="65" customFormat="false" ht="15" hidden="false" customHeight="false" outlineLevel="0" collapsed="false">
      <c r="A65" s="29" t="n">
        <v>46300</v>
      </c>
      <c r="B65" s="30" t="n">
        <f aca="false">INT((A65-Inputs!$B$5)/7)</f>
        <v>-3</v>
      </c>
      <c r="C65" s="30" t="n">
        <f aca="false">YEAR(A65)*100+MONTH(A65)</f>
        <v>202610</v>
      </c>
      <c r="D65" s="20" t="n">
        <f aca="false">IF(AND(A65&gt;=Inputs!$B$33,A65&lt;=Inputs!$B$34),INDEX(Inputs!$B$38:$B$49,11)*30*Inputs!$B$35/7,IF(MONTH(A65)=11,INDEX(Inputs!$B$38:$B$49,11)*30*(1-Inputs!$B$35)/23,INDEX(Inputs!$B$38:$B$49,MONTH(A65))))</f>
        <v>1</v>
      </c>
      <c r="E65" s="30" t="n">
        <f aca="false">IF(MONTH(A65)=1,(YEAR(A65)-1)*100+12,YEAR(A65)*100+MONTH(A65)-1)</f>
        <v>202609</v>
      </c>
      <c r="F65" s="20" t="n">
        <f aca="false">D65/SUMIFS($D$2:$D$176,$B$2:$B$176,B65)</f>
        <v>0.142857142857143</v>
      </c>
      <c r="G65" s="11" t="n">
        <f aca="false">INDEX(Forecast!$B$8:$Z$8,1,(B65)+13)*F65</f>
        <v>17938.336966677</v>
      </c>
      <c r="H65" s="11" t="n">
        <f aca="false">IF(B65&gt;=0,(INDEX(Forecast!$B$8:$Z$8,1,(B65)+13)*Inputs!$B$20+Inputs!$B$22)/7,IF(C65=202610,(Inputs!$B$21+Inputs!$B$22)/7,0))</f>
        <v>4276.10446233928</v>
      </c>
      <c r="I65" s="11" t="n">
        <f aca="false">IF(DAY(A65)=22,SUMIFS($H$2:$H$176,$C$2:$C$176,E65),0)</f>
        <v>0</v>
      </c>
      <c r="J65" s="11" t="n">
        <f aca="false">IF(DAY(A65)=1,Inputs!$B$24,0)</f>
        <v>0</v>
      </c>
      <c r="K65" s="11" t="n">
        <f aca="false">IF(DAY(A65)=1,Inputs!$B$30*Inputs!$B$31/12,0)</f>
        <v>0</v>
      </c>
      <c r="L65" s="11" t="n">
        <f aca="false">IF(DAY(A65)=20,Inputs!$B$25*SUMIFS($G$2:$G$176,$C$2:$C$176,E65),0)</f>
        <v>0</v>
      </c>
    </row>
    <row r="66" customFormat="false" ht="15" hidden="false" customHeight="false" outlineLevel="0" collapsed="false">
      <c r="A66" s="29" t="n">
        <v>46301</v>
      </c>
      <c r="B66" s="30" t="n">
        <f aca="false">INT((A66-Inputs!$B$5)/7)</f>
        <v>-3</v>
      </c>
      <c r="C66" s="30" t="n">
        <f aca="false">YEAR(A66)*100+MONTH(A66)</f>
        <v>202610</v>
      </c>
      <c r="D66" s="20" t="n">
        <f aca="false">IF(AND(A66&gt;=Inputs!$B$33,A66&lt;=Inputs!$B$34),INDEX(Inputs!$B$38:$B$49,11)*30*Inputs!$B$35/7,IF(MONTH(A66)=11,INDEX(Inputs!$B$38:$B$49,11)*30*(1-Inputs!$B$35)/23,INDEX(Inputs!$B$38:$B$49,MONTH(A66))))</f>
        <v>1</v>
      </c>
      <c r="E66" s="30" t="n">
        <f aca="false">IF(MONTH(A66)=1,(YEAR(A66)-1)*100+12,YEAR(A66)*100+MONTH(A66)-1)</f>
        <v>202609</v>
      </c>
      <c r="F66" s="20" t="n">
        <f aca="false">D66/SUMIFS($D$2:$D$176,$B$2:$B$176,B66)</f>
        <v>0.142857142857143</v>
      </c>
      <c r="G66" s="11" t="n">
        <f aca="false">INDEX(Forecast!$B$8:$Z$8,1,(B66)+13)*F66</f>
        <v>17938.336966677</v>
      </c>
      <c r="H66" s="11" t="n">
        <f aca="false">IF(B66&gt;=0,(INDEX(Forecast!$B$8:$Z$8,1,(B66)+13)*Inputs!$B$20+Inputs!$B$22)/7,IF(C66=202610,(Inputs!$B$21+Inputs!$B$22)/7,0))</f>
        <v>4276.10446233928</v>
      </c>
      <c r="I66" s="11" t="n">
        <f aca="false">IF(DAY(A66)=22,SUMIFS($H$2:$H$176,$C$2:$C$176,E66),0)</f>
        <v>0</v>
      </c>
      <c r="J66" s="11" t="n">
        <f aca="false">IF(DAY(A66)=1,Inputs!$B$24,0)</f>
        <v>0</v>
      </c>
      <c r="K66" s="11" t="n">
        <f aca="false">IF(DAY(A66)=1,Inputs!$B$30*Inputs!$B$31/12,0)</f>
        <v>0</v>
      </c>
      <c r="L66" s="11" t="n">
        <f aca="false">IF(DAY(A66)=20,Inputs!$B$25*SUMIFS($G$2:$G$176,$C$2:$C$176,E66),0)</f>
        <v>0</v>
      </c>
    </row>
    <row r="67" customFormat="false" ht="15" hidden="false" customHeight="false" outlineLevel="0" collapsed="false">
      <c r="A67" s="29" t="n">
        <v>46302</v>
      </c>
      <c r="B67" s="30" t="n">
        <f aca="false">INT((A67-Inputs!$B$5)/7)</f>
        <v>-3</v>
      </c>
      <c r="C67" s="30" t="n">
        <f aca="false">YEAR(A67)*100+MONTH(A67)</f>
        <v>202610</v>
      </c>
      <c r="D67" s="20" t="n">
        <f aca="false">IF(AND(A67&gt;=Inputs!$B$33,A67&lt;=Inputs!$B$34),INDEX(Inputs!$B$38:$B$49,11)*30*Inputs!$B$35/7,IF(MONTH(A67)=11,INDEX(Inputs!$B$38:$B$49,11)*30*(1-Inputs!$B$35)/23,INDEX(Inputs!$B$38:$B$49,MONTH(A67))))</f>
        <v>1</v>
      </c>
      <c r="E67" s="30" t="n">
        <f aca="false">IF(MONTH(A67)=1,(YEAR(A67)-1)*100+12,YEAR(A67)*100+MONTH(A67)-1)</f>
        <v>202609</v>
      </c>
      <c r="F67" s="20" t="n">
        <f aca="false">D67/SUMIFS($D$2:$D$176,$B$2:$B$176,B67)</f>
        <v>0.142857142857143</v>
      </c>
      <c r="G67" s="11" t="n">
        <f aca="false">INDEX(Forecast!$B$8:$Z$8,1,(B67)+13)*F67</f>
        <v>17938.336966677</v>
      </c>
      <c r="H67" s="11" t="n">
        <f aca="false">IF(B67&gt;=0,(INDEX(Forecast!$B$8:$Z$8,1,(B67)+13)*Inputs!$B$20+Inputs!$B$22)/7,IF(C67=202610,(Inputs!$B$21+Inputs!$B$22)/7,0))</f>
        <v>4276.10446233928</v>
      </c>
      <c r="I67" s="11" t="n">
        <f aca="false">IF(DAY(A67)=22,SUMIFS($H$2:$H$176,$C$2:$C$176,E67),0)</f>
        <v>0</v>
      </c>
      <c r="J67" s="11" t="n">
        <f aca="false">IF(DAY(A67)=1,Inputs!$B$24,0)</f>
        <v>0</v>
      </c>
      <c r="K67" s="11" t="n">
        <f aca="false">IF(DAY(A67)=1,Inputs!$B$30*Inputs!$B$31/12,0)</f>
        <v>0</v>
      </c>
      <c r="L67" s="11" t="n">
        <f aca="false">IF(DAY(A67)=20,Inputs!$B$25*SUMIFS($G$2:$G$176,$C$2:$C$176,E67),0)</f>
        <v>0</v>
      </c>
    </row>
    <row r="68" customFormat="false" ht="15" hidden="false" customHeight="false" outlineLevel="0" collapsed="false">
      <c r="A68" s="29" t="n">
        <v>46303</v>
      </c>
      <c r="B68" s="30" t="n">
        <f aca="false">INT((A68-Inputs!$B$5)/7)</f>
        <v>-3</v>
      </c>
      <c r="C68" s="30" t="n">
        <f aca="false">YEAR(A68)*100+MONTH(A68)</f>
        <v>202610</v>
      </c>
      <c r="D68" s="20" t="n">
        <f aca="false">IF(AND(A68&gt;=Inputs!$B$33,A68&lt;=Inputs!$B$34),INDEX(Inputs!$B$38:$B$49,11)*30*Inputs!$B$35/7,IF(MONTH(A68)=11,INDEX(Inputs!$B$38:$B$49,11)*30*(1-Inputs!$B$35)/23,INDEX(Inputs!$B$38:$B$49,MONTH(A68))))</f>
        <v>1</v>
      </c>
      <c r="E68" s="30" t="n">
        <f aca="false">IF(MONTH(A68)=1,(YEAR(A68)-1)*100+12,YEAR(A68)*100+MONTH(A68)-1)</f>
        <v>202609</v>
      </c>
      <c r="F68" s="20" t="n">
        <f aca="false">D68/SUMIFS($D$2:$D$176,$B$2:$B$176,B68)</f>
        <v>0.142857142857143</v>
      </c>
      <c r="G68" s="11" t="n">
        <f aca="false">INDEX(Forecast!$B$8:$Z$8,1,(B68)+13)*F68</f>
        <v>17938.336966677</v>
      </c>
      <c r="H68" s="11" t="n">
        <f aca="false">IF(B68&gt;=0,(INDEX(Forecast!$B$8:$Z$8,1,(B68)+13)*Inputs!$B$20+Inputs!$B$22)/7,IF(C68=202610,(Inputs!$B$21+Inputs!$B$22)/7,0))</f>
        <v>4276.10446233928</v>
      </c>
      <c r="I68" s="11" t="n">
        <f aca="false">IF(DAY(A68)=22,SUMIFS($H$2:$H$176,$C$2:$C$176,E68),0)</f>
        <v>0</v>
      </c>
      <c r="J68" s="11" t="n">
        <f aca="false">IF(DAY(A68)=1,Inputs!$B$24,0)</f>
        <v>0</v>
      </c>
      <c r="K68" s="11" t="n">
        <f aca="false">IF(DAY(A68)=1,Inputs!$B$30*Inputs!$B$31/12,0)</f>
        <v>0</v>
      </c>
      <c r="L68" s="11" t="n">
        <f aca="false">IF(DAY(A68)=20,Inputs!$B$25*SUMIFS($G$2:$G$176,$C$2:$C$176,E68),0)</f>
        <v>0</v>
      </c>
    </row>
    <row r="69" customFormat="false" ht="15" hidden="false" customHeight="false" outlineLevel="0" collapsed="false">
      <c r="A69" s="29" t="n">
        <v>46304</v>
      </c>
      <c r="B69" s="30" t="n">
        <f aca="false">INT((A69-Inputs!$B$5)/7)</f>
        <v>-3</v>
      </c>
      <c r="C69" s="30" t="n">
        <f aca="false">YEAR(A69)*100+MONTH(A69)</f>
        <v>202610</v>
      </c>
      <c r="D69" s="20" t="n">
        <f aca="false">IF(AND(A69&gt;=Inputs!$B$33,A69&lt;=Inputs!$B$34),INDEX(Inputs!$B$38:$B$49,11)*30*Inputs!$B$35/7,IF(MONTH(A69)=11,INDEX(Inputs!$B$38:$B$49,11)*30*(1-Inputs!$B$35)/23,INDEX(Inputs!$B$38:$B$49,MONTH(A69))))</f>
        <v>1</v>
      </c>
      <c r="E69" s="30" t="n">
        <f aca="false">IF(MONTH(A69)=1,(YEAR(A69)-1)*100+12,YEAR(A69)*100+MONTH(A69)-1)</f>
        <v>202609</v>
      </c>
      <c r="F69" s="20" t="n">
        <f aca="false">D69/SUMIFS($D$2:$D$176,$B$2:$B$176,B69)</f>
        <v>0.142857142857143</v>
      </c>
      <c r="G69" s="11" t="n">
        <f aca="false">INDEX(Forecast!$B$8:$Z$8,1,(B69)+13)*F69</f>
        <v>17938.336966677</v>
      </c>
      <c r="H69" s="11" t="n">
        <f aca="false">IF(B69&gt;=0,(INDEX(Forecast!$B$8:$Z$8,1,(B69)+13)*Inputs!$B$20+Inputs!$B$22)/7,IF(C69=202610,(Inputs!$B$21+Inputs!$B$22)/7,0))</f>
        <v>4276.10446233928</v>
      </c>
      <c r="I69" s="11" t="n">
        <f aca="false">IF(DAY(A69)=22,SUMIFS($H$2:$H$176,$C$2:$C$176,E69),0)</f>
        <v>0</v>
      </c>
      <c r="J69" s="11" t="n">
        <f aca="false">IF(DAY(A69)=1,Inputs!$B$24,0)</f>
        <v>0</v>
      </c>
      <c r="K69" s="11" t="n">
        <f aca="false">IF(DAY(A69)=1,Inputs!$B$30*Inputs!$B$31/12,0)</f>
        <v>0</v>
      </c>
      <c r="L69" s="11" t="n">
        <f aca="false">IF(DAY(A69)=20,Inputs!$B$25*SUMIFS($G$2:$G$176,$C$2:$C$176,E69),0)</f>
        <v>0</v>
      </c>
    </row>
    <row r="70" customFormat="false" ht="15" hidden="false" customHeight="false" outlineLevel="0" collapsed="false">
      <c r="A70" s="29" t="n">
        <v>46305</v>
      </c>
      <c r="B70" s="30" t="n">
        <f aca="false">INT((A70-Inputs!$B$5)/7)</f>
        <v>-3</v>
      </c>
      <c r="C70" s="30" t="n">
        <f aca="false">YEAR(A70)*100+MONTH(A70)</f>
        <v>202610</v>
      </c>
      <c r="D70" s="20" t="n">
        <f aca="false">IF(AND(A70&gt;=Inputs!$B$33,A70&lt;=Inputs!$B$34),INDEX(Inputs!$B$38:$B$49,11)*30*Inputs!$B$35/7,IF(MONTH(A70)=11,INDEX(Inputs!$B$38:$B$49,11)*30*(1-Inputs!$B$35)/23,INDEX(Inputs!$B$38:$B$49,MONTH(A70))))</f>
        <v>1</v>
      </c>
      <c r="E70" s="30" t="n">
        <f aca="false">IF(MONTH(A70)=1,(YEAR(A70)-1)*100+12,YEAR(A70)*100+MONTH(A70)-1)</f>
        <v>202609</v>
      </c>
      <c r="F70" s="20" t="n">
        <f aca="false">D70/SUMIFS($D$2:$D$176,$B$2:$B$176,B70)</f>
        <v>0.142857142857143</v>
      </c>
      <c r="G70" s="11" t="n">
        <f aca="false">INDEX(Forecast!$B$8:$Z$8,1,(B70)+13)*F70</f>
        <v>17938.336966677</v>
      </c>
      <c r="H70" s="11" t="n">
        <f aca="false">IF(B70&gt;=0,(INDEX(Forecast!$B$8:$Z$8,1,(B70)+13)*Inputs!$B$20+Inputs!$B$22)/7,IF(C70=202610,(Inputs!$B$21+Inputs!$B$22)/7,0))</f>
        <v>4276.10446233928</v>
      </c>
      <c r="I70" s="11" t="n">
        <f aca="false">IF(DAY(A70)=22,SUMIFS($H$2:$H$176,$C$2:$C$176,E70),0)</f>
        <v>0</v>
      </c>
      <c r="J70" s="11" t="n">
        <f aca="false">IF(DAY(A70)=1,Inputs!$B$24,0)</f>
        <v>0</v>
      </c>
      <c r="K70" s="11" t="n">
        <f aca="false">IF(DAY(A70)=1,Inputs!$B$30*Inputs!$B$31/12,0)</f>
        <v>0</v>
      </c>
      <c r="L70" s="11" t="n">
        <f aca="false">IF(DAY(A70)=20,Inputs!$B$25*SUMIFS($G$2:$G$176,$C$2:$C$176,E70),0)</f>
        <v>0</v>
      </c>
    </row>
    <row r="71" customFormat="false" ht="15" hidden="false" customHeight="false" outlineLevel="0" collapsed="false">
      <c r="A71" s="29" t="n">
        <v>46306</v>
      </c>
      <c r="B71" s="30" t="n">
        <f aca="false">INT((A71-Inputs!$B$5)/7)</f>
        <v>-3</v>
      </c>
      <c r="C71" s="30" t="n">
        <f aca="false">YEAR(A71)*100+MONTH(A71)</f>
        <v>202610</v>
      </c>
      <c r="D71" s="20" t="n">
        <f aca="false">IF(AND(A71&gt;=Inputs!$B$33,A71&lt;=Inputs!$B$34),INDEX(Inputs!$B$38:$B$49,11)*30*Inputs!$B$35/7,IF(MONTH(A71)=11,INDEX(Inputs!$B$38:$B$49,11)*30*(1-Inputs!$B$35)/23,INDEX(Inputs!$B$38:$B$49,MONTH(A71))))</f>
        <v>1</v>
      </c>
      <c r="E71" s="30" t="n">
        <f aca="false">IF(MONTH(A71)=1,(YEAR(A71)-1)*100+12,YEAR(A71)*100+MONTH(A71)-1)</f>
        <v>202609</v>
      </c>
      <c r="F71" s="20" t="n">
        <f aca="false">D71/SUMIFS($D$2:$D$176,$B$2:$B$176,B71)</f>
        <v>0.142857142857143</v>
      </c>
      <c r="G71" s="11" t="n">
        <f aca="false">INDEX(Forecast!$B$8:$Z$8,1,(B71)+13)*F71</f>
        <v>17938.336966677</v>
      </c>
      <c r="H71" s="11" t="n">
        <f aca="false">IF(B71&gt;=0,(INDEX(Forecast!$B$8:$Z$8,1,(B71)+13)*Inputs!$B$20+Inputs!$B$22)/7,IF(C71=202610,(Inputs!$B$21+Inputs!$B$22)/7,0))</f>
        <v>4276.10446233928</v>
      </c>
      <c r="I71" s="11" t="n">
        <f aca="false">IF(DAY(A71)=22,SUMIFS($H$2:$H$176,$C$2:$C$176,E71),0)</f>
        <v>0</v>
      </c>
      <c r="J71" s="11" t="n">
        <f aca="false">IF(DAY(A71)=1,Inputs!$B$24,0)</f>
        <v>0</v>
      </c>
      <c r="K71" s="11" t="n">
        <f aca="false">IF(DAY(A71)=1,Inputs!$B$30*Inputs!$B$31/12,0)</f>
        <v>0</v>
      </c>
      <c r="L71" s="11" t="n">
        <f aca="false">IF(DAY(A71)=20,Inputs!$B$25*SUMIFS($G$2:$G$176,$C$2:$C$176,E71),0)</f>
        <v>0</v>
      </c>
    </row>
    <row r="72" customFormat="false" ht="15" hidden="false" customHeight="false" outlineLevel="0" collapsed="false">
      <c r="A72" s="29" t="n">
        <v>46307</v>
      </c>
      <c r="B72" s="30" t="n">
        <f aca="false">INT((A72-Inputs!$B$5)/7)</f>
        <v>-2</v>
      </c>
      <c r="C72" s="30" t="n">
        <f aca="false">YEAR(A72)*100+MONTH(A72)</f>
        <v>202610</v>
      </c>
      <c r="D72" s="20" t="n">
        <f aca="false">IF(AND(A72&gt;=Inputs!$B$33,A72&lt;=Inputs!$B$34),INDEX(Inputs!$B$38:$B$49,11)*30*Inputs!$B$35/7,IF(MONTH(A72)=11,INDEX(Inputs!$B$38:$B$49,11)*30*(1-Inputs!$B$35)/23,INDEX(Inputs!$B$38:$B$49,MONTH(A72))))</f>
        <v>1</v>
      </c>
      <c r="E72" s="30" t="n">
        <f aca="false">IF(MONTH(A72)=1,(YEAR(A72)-1)*100+12,YEAR(A72)*100+MONTH(A72)-1)</f>
        <v>202609</v>
      </c>
      <c r="F72" s="20" t="n">
        <f aca="false">D72/SUMIFS($D$2:$D$176,$B$2:$B$176,B72)</f>
        <v>0.142857142857143</v>
      </c>
      <c r="G72" s="11" t="n">
        <f aca="false">INDEX(Forecast!$B$8:$Z$8,1,(B72)+13)*F72</f>
        <v>17938.336966677</v>
      </c>
      <c r="H72" s="11" t="n">
        <f aca="false">IF(B72&gt;=0,(INDEX(Forecast!$B$8:$Z$8,1,(B72)+13)*Inputs!$B$20+Inputs!$B$22)/7,IF(C72=202610,(Inputs!$B$21+Inputs!$B$22)/7,0))</f>
        <v>4276.10446233928</v>
      </c>
      <c r="I72" s="11" t="n">
        <f aca="false">IF(DAY(A72)=22,SUMIFS($H$2:$H$176,$C$2:$C$176,E72),0)</f>
        <v>0</v>
      </c>
      <c r="J72" s="11" t="n">
        <f aca="false">IF(DAY(A72)=1,Inputs!$B$24,0)</f>
        <v>0</v>
      </c>
      <c r="K72" s="11" t="n">
        <f aca="false">IF(DAY(A72)=1,Inputs!$B$30*Inputs!$B$31/12,0)</f>
        <v>0</v>
      </c>
      <c r="L72" s="11" t="n">
        <f aca="false">IF(DAY(A72)=20,Inputs!$B$25*SUMIFS($G$2:$G$176,$C$2:$C$176,E72),0)</f>
        <v>0</v>
      </c>
    </row>
    <row r="73" customFormat="false" ht="15" hidden="false" customHeight="false" outlineLevel="0" collapsed="false">
      <c r="A73" s="29" t="n">
        <v>46308</v>
      </c>
      <c r="B73" s="30" t="n">
        <f aca="false">INT((A73-Inputs!$B$5)/7)</f>
        <v>-2</v>
      </c>
      <c r="C73" s="30" t="n">
        <f aca="false">YEAR(A73)*100+MONTH(A73)</f>
        <v>202610</v>
      </c>
      <c r="D73" s="20" t="n">
        <f aca="false">IF(AND(A73&gt;=Inputs!$B$33,A73&lt;=Inputs!$B$34),INDEX(Inputs!$B$38:$B$49,11)*30*Inputs!$B$35/7,IF(MONTH(A73)=11,INDEX(Inputs!$B$38:$B$49,11)*30*(1-Inputs!$B$35)/23,INDEX(Inputs!$B$38:$B$49,MONTH(A73))))</f>
        <v>1</v>
      </c>
      <c r="E73" s="30" t="n">
        <f aca="false">IF(MONTH(A73)=1,(YEAR(A73)-1)*100+12,YEAR(A73)*100+MONTH(A73)-1)</f>
        <v>202609</v>
      </c>
      <c r="F73" s="20" t="n">
        <f aca="false">D73/SUMIFS($D$2:$D$176,$B$2:$B$176,B73)</f>
        <v>0.142857142857143</v>
      </c>
      <c r="G73" s="11" t="n">
        <f aca="false">INDEX(Forecast!$B$8:$Z$8,1,(B73)+13)*F73</f>
        <v>17938.336966677</v>
      </c>
      <c r="H73" s="11" t="n">
        <f aca="false">IF(B73&gt;=0,(INDEX(Forecast!$B$8:$Z$8,1,(B73)+13)*Inputs!$B$20+Inputs!$B$22)/7,IF(C73=202610,(Inputs!$B$21+Inputs!$B$22)/7,0))</f>
        <v>4276.10446233928</v>
      </c>
      <c r="I73" s="11" t="n">
        <f aca="false">IF(DAY(A73)=22,SUMIFS($H$2:$H$176,$C$2:$C$176,E73),0)</f>
        <v>0</v>
      </c>
      <c r="J73" s="11" t="n">
        <f aca="false">IF(DAY(A73)=1,Inputs!$B$24,0)</f>
        <v>0</v>
      </c>
      <c r="K73" s="11" t="n">
        <f aca="false">IF(DAY(A73)=1,Inputs!$B$30*Inputs!$B$31/12,0)</f>
        <v>0</v>
      </c>
      <c r="L73" s="11" t="n">
        <f aca="false">IF(DAY(A73)=20,Inputs!$B$25*SUMIFS($G$2:$G$176,$C$2:$C$176,E73),0)</f>
        <v>0</v>
      </c>
    </row>
    <row r="74" customFormat="false" ht="15" hidden="false" customHeight="false" outlineLevel="0" collapsed="false">
      <c r="A74" s="29" t="n">
        <v>46309</v>
      </c>
      <c r="B74" s="30" t="n">
        <f aca="false">INT((A74-Inputs!$B$5)/7)</f>
        <v>-2</v>
      </c>
      <c r="C74" s="30" t="n">
        <f aca="false">YEAR(A74)*100+MONTH(A74)</f>
        <v>202610</v>
      </c>
      <c r="D74" s="20" t="n">
        <f aca="false">IF(AND(A74&gt;=Inputs!$B$33,A74&lt;=Inputs!$B$34),INDEX(Inputs!$B$38:$B$49,11)*30*Inputs!$B$35/7,IF(MONTH(A74)=11,INDEX(Inputs!$B$38:$B$49,11)*30*(1-Inputs!$B$35)/23,INDEX(Inputs!$B$38:$B$49,MONTH(A74))))</f>
        <v>1</v>
      </c>
      <c r="E74" s="30" t="n">
        <f aca="false">IF(MONTH(A74)=1,(YEAR(A74)-1)*100+12,YEAR(A74)*100+MONTH(A74)-1)</f>
        <v>202609</v>
      </c>
      <c r="F74" s="20" t="n">
        <f aca="false">D74/SUMIFS($D$2:$D$176,$B$2:$B$176,B74)</f>
        <v>0.142857142857143</v>
      </c>
      <c r="G74" s="11" t="n">
        <f aca="false">INDEX(Forecast!$B$8:$Z$8,1,(B74)+13)*F74</f>
        <v>17938.336966677</v>
      </c>
      <c r="H74" s="11" t="n">
        <f aca="false">IF(B74&gt;=0,(INDEX(Forecast!$B$8:$Z$8,1,(B74)+13)*Inputs!$B$20+Inputs!$B$22)/7,IF(C74=202610,(Inputs!$B$21+Inputs!$B$22)/7,0))</f>
        <v>4276.10446233928</v>
      </c>
      <c r="I74" s="11" t="n">
        <f aca="false">IF(DAY(A74)=22,SUMIFS($H$2:$H$176,$C$2:$C$176,E74),0)</f>
        <v>0</v>
      </c>
      <c r="J74" s="11" t="n">
        <f aca="false">IF(DAY(A74)=1,Inputs!$B$24,0)</f>
        <v>0</v>
      </c>
      <c r="K74" s="11" t="n">
        <f aca="false">IF(DAY(A74)=1,Inputs!$B$30*Inputs!$B$31/12,0)</f>
        <v>0</v>
      </c>
      <c r="L74" s="11" t="n">
        <f aca="false">IF(DAY(A74)=20,Inputs!$B$25*SUMIFS($G$2:$G$176,$C$2:$C$176,E74),0)</f>
        <v>0</v>
      </c>
    </row>
    <row r="75" customFormat="false" ht="15" hidden="false" customHeight="false" outlineLevel="0" collapsed="false">
      <c r="A75" s="29" t="n">
        <v>46310</v>
      </c>
      <c r="B75" s="30" t="n">
        <f aca="false">INT((A75-Inputs!$B$5)/7)</f>
        <v>-2</v>
      </c>
      <c r="C75" s="30" t="n">
        <f aca="false">YEAR(A75)*100+MONTH(A75)</f>
        <v>202610</v>
      </c>
      <c r="D75" s="20" t="n">
        <f aca="false">IF(AND(A75&gt;=Inputs!$B$33,A75&lt;=Inputs!$B$34),INDEX(Inputs!$B$38:$B$49,11)*30*Inputs!$B$35/7,IF(MONTH(A75)=11,INDEX(Inputs!$B$38:$B$49,11)*30*(1-Inputs!$B$35)/23,INDEX(Inputs!$B$38:$B$49,MONTH(A75))))</f>
        <v>1</v>
      </c>
      <c r="E75" s="30" t="n">
        <f aca="false">IF(MONTH(A75)=1,(YEAR(A75)-1)*100+12,YEAR(A75)*100+MONTH(A75)-1)</f>
        <v>202609</v>
      </c>
      <c r="F75" s="20" t="n">
        <f aca="false">D75/SUMIFS($D$2:$D$176,$B$2:$B$176,B75)</f>
        <v>0.142857142857143</v>
      </c>
      <c r="G75" s="11" t="n">
        <f aca="false">INDEX(Forecast!$B$8:$Z$8,1,(B75)+13)*F75</f>
        <v>17938.336966677</v>
      </c>
      <c r="H75" s="11" t="n">
        <f aca="false">IF(B75&gt;=0,(INDEX(Forecast!$B$8:$Z$8,1,(B75)+13)*Inputs!$B$20+Inputs!$B$22)/7,IF(C75=202610,(Inputs!$B$21+Inputs!$B$22)/7,0))</f>
        <v>4276.10446233928</v>
      </c>
      <c r="I75" s="11" t="n">
        <f aca="false">IF(DAY(A75)=22,SUMIFS($H$2:$H$176,$C$2:$C$176,E75),0)</f>
        <v>0</v>
      </c>
      <c r="J75" s="11" t="n">
        <f aca="false">IF(DAY(A75)=1,Inputs!$B$24,0)</f>
        <v>0</v>
      </c>
      <c r="K75" s="11" t="n">
        <f aca="false">IF(DAY(A75)=1,Inputs!$B$30*Inputs!$B$31/12,0)</f>
        <v>0</v>
      </c>
      <c r="L75" s="11" t="n">
        <f aca="false">IF(DAY(A75)=20,Inputs!$B$25*SUMIFS($G$2:$G$176,$C$2:$C$176,E75),0)</f>
        <v>0</v>
      </c>
    </row>
    <row r="76" customFormat="false" ht="15" hidden="false" customHeight="false" outlineLevel="0" collapsed="false">
      <c r="A76" s="29" t="n">
        <v>46311</v>
      </c>
      <c r="B76" s="30" t="n">
        <f aca="false">INT((A76-Inputs!$B$5)/7)</f>
        <v>-2</v>
      </c>
      <c r="C76" s="30" t="n">
        <f aca="false">YEAR(A76)*100+MONTH(A76)</f>
        <v>202610</v>
      </c>
      <c r="D76" s="20" t="n">
        <f aca="false">IF(AND(A76&gt;=Inputs!$B$33,A76&lt;=Inputs!$B$34),INDEX(Inputs!$B$38:$B$49,11)*30*Inputs!$B$35/7,IF(MONTH(A76)=11,INDEX(Inputs!$B$38:$B$49,11)*30*(1-Inputs!$B$35)/23,INDEX(Inputs!$B$38:$B$49,MONTH(A76))))</f>
        <v>1</v>
      </c>
      <c r="E76" s="30" t="n">
        <f aca="false">IF(MONTH(A76)=1,(YEAR(A76)-1)*100+12,YEAR(A76)*100+MONTH(A76)-1)</f>
        <v>202609</v>
      </c>
      <c r="F76" s="20" t="n">
        <f aca="false">D76/SUMIFS($D$2:$D$176,$B$2:$B$176,B76)</f>
        <v>0.142857142857143</v>
      </c>
      <c r="G76" s="11" t="n">
        <f aca="false">INDEX(Forecast!$B$8:$Z$8,1,(B76)+13)*F76</f>
        <v>17938.336966677</v>
      </c>
      <c r="H76" s="11" t="n">
        <f aca="false">IF(B76&gt;=0,(INDEX(Forecast!$B$8:$Z$8,1,(B76)+13)*Inputs!$B$20+Inputs!$B$22)/7,IF(C76=202610,(Inputs!$B$21+Inputs!$B$22)/7,0))</f>
        <v>4276.10446233928</v>
      </c>
      <c r="I76" s="11" t="n">
        <f aca="false">IF(DAY(A76)=22,SUMIFS($H$2:$H$176,$C$2:$C$176,E76),0)</f>
        <v>0</v>
      </c>
      <c r="J76" s="11" t="n">
        <f aca="false">IF(DAY(A76)=1,Inputs!$B$24,0)</f>
        <v>0</v>
      </c>
      <c r="K76" s="11" t="n">
        <f aca="false">IF(DAY(A76)=1,Inputs!$B$30*Inputs!$B$31/12,0)</f>
        <v>0</v>
      </c>
      <c r="L76" s="11" t="n">
        <f aca="false">IF(DAY(A76)=20,Inputs!$B$25*SUMIFS($G$2:$G$176,$C$2:$C$176,E76),0)</f>
        <v>0</v>
      </c>
    </row>
    <row r="77" customFormat="false" ht="15" hidden="false" customHeight="false" outlineLevel="0" collapsed="false">
      <c r="A77" s="29" t="n">
        <v>46312</v>
      </c>
      <c r="B77" s="30" t="n">
        <f aca="false">INT((A77-Inputs!$B$5)/7)</f>
        <v>-2</v>
      </c>
      <c r="C77" s="30" t="n">
        <f aca="false">YEAR(A77)*100+MONTH(A77)</f>
        <v>202610</v>
      </c>
      <c r="D77" s="20" t="n">
        <f aca="false">IF(AND(A77&gt;=Inputs!$B$33,A77&lt;=Inputs!$B$34),INDEX(Inputs!$B$38:$B$49,11)*30*Inputs!$B$35/7,IF(MONTH(A77)=11,INDEX(Inputs!$B$38:$B$49,11)*30*(1-Inputs!$B$35)/23,INDEX(Inputs!$B$38:$B$49,MONTH(A77))))</f>
        <v>1</v>
      </c>
      <c r="E77" s="30" t="n">
        <f aca="false">IF(MONTH(A77)=1,(YEAR(A77)-1)*100+12,YEAR(A77)*100+MONTH(A77)-1)</f>
        <v>202609</v>
      </c>
      <c r="F77" s="20" t="n">
        <f aca="false">D77/SUMIFS($D$2:$D$176,$B$2:$B$176,B77)</f>
        <v>0.142857142857143</v>
      </c>
      <c r="G77" s="11" t="n">
        <f aca="false">INDEX(Forecast!$B$8:$Z$8,1,(B77)+13)*F77</f>
        <v>17938.336966677</v>
      </c>
      <c r="H77" s="11" t="n">
        <f aca="false">IF(B77&gt;=0,(INDEX(Forecast!$B$8:$Z$8,1,(B77)+13)*Inputs!$B$20+Inputs!$B$22)/7,IF(C77=202610,(Inputs!$B$21+Inputs!$B$22)/7,0))</f>
        <v>4276.10446233928</v>
      </c>
      <c r="I77" s="11" t="n">
        <f aca="false">IF(DAY(A77)=22,SUMIFS($H$2:$H$176,$C$2:$C$176,E77),0)</f>
        <v>0</v>
      </c>
      <c r="J77" s="11" t="n">
        <f aca="false">IF(DAY(A77)=1,Inputs!$B$24,0)</f>
        <v>0</v>
      </c>
      <c r="K77" s="11" t="n">
        <f aca="false">IF(DAY(A77)=1,Inputs!$B$30*Inputs!$B$31/12,0)</f>
        <v>0</v>
      </c>
      <c r="L77" s="11" t="n">
        <f aca="false">IF(DAY(A77)=20,Inputs!$B$25*SUMIFS($G$2:$G$176,$C$2:$C$176,E77),0)</f>
        <v>0</v>
      </c>
    </row>
    <row r="78" customFormat="false" ht="15" hidden="false" customHeight="false" outlineLevel="0" collapsed="false">
      <c r="A78" s="29" t="n">
        <v>46313</v>
      </c>
      <c r="B78" s="30" t="n">
        <f aca="false">INT((A78-Inputs!$B$5)/7)</f>
        <v>-2</v>
      </c>
      <c r="C78" s="30" t="n">
        <f aca="false">YEAR(A78)*100+MONTH(A78)</f>
        <v>202610</v>
      </c>
      <c r="D78" s="20" t="n">
        <f aca="false">IF(AND(A78&gt;=Inputs!$B$33,A78&lt;=Inputs!$B$34),INDEX(Inputs!$B$38:$B$49,11)*30*Inputs!$B$35/7,IF(MONTH(A78)=11,INDEX(Inputs!$B$38:$B$49,11)*30*(1-Inputs!$B$35)/23,INDEX(Inputs!$B$38:$B$49,MONTH(A78))))</f>
        <v>1</v>
      </c>
      <c r="E78" s="30" t="n">
        <f aca="false">IF(MONTH(A78)=1,(YEAR(A78)-1)*100+12,YEAR(A78)*100+MONTH(A78)-1)</f>
        <v>202609</v>
      </c>
      <c r="F78" s="20" t="n">
        <f aca="false">D78/SUMIFS($D$2:$D$176,$B$2:$B$176,B78)</f>
        <v>0.142857142857143</v>
      </c>
      <c r="G78" s="11" t="n">
        <f aca="false">INDEX(Forecast!$B$8:$Z$8,1,(B78)+13)*F78</f>
        <v>17938.336966677</v>
      </c>
      <c r="H78" s="11" t="n">
        <f aca="false">IF(B78&gt;=0,(INDEX(Forecast!$B$8:$Z$8,1,(B78)+13)*Inputs!$B$20+Inputs!$B$22)/7,IF(C78=202610,(Inputs!$B$21+Inputs!$B$22)/7,0))</f>
        <v>4276.10446233928</v>
      </c>
      <c r="I78" s="11" t="n">
        <f aca="false">IF(DAY(A78)=22,SUMIFS($H$2:$H$176,$C$2:$C$176,E78),0)</f>
        <v>0</v>
      </c>
      <c r="J78" s="11" t="n">
        <f aca="false">IF(DAY(A78)=1,Inputs!$B$24,0)</f>
        <v>0</v>
      </c>
      <c r="K78" s="11" t="n">
        <f aca="false">IF(DAY(A78)=1,Inputs!$B$30*Inputs!$B$31/12,0)</f>
        <v>0</v>
      </c>
      <c r="L78" s="11" t="n">
        <f aca="false">IF(DAY(A78)=20,Inputs!$B$25*SUMIFS($G$2:$G$176,$C$2:$C$176,E78),0)</f>
        <v>0</v>
      </c>
    </row>
    <row r="79" customFormat="false" ht="15" hidden="false" customHeight="false" outlineLevel="0" collapsed="false">
      <c r="A79" s="29" t="n">
        <v>46314</v>
      </c>
      <c r="B79" s="30" t="n">
        <f aca="false">INT((A79-Inputs!$B$5)/7)</f>
        <v>-1</v>
      </c>
      <c r="C79" s="30" t="n">
        <f aca="false">YEAR(A79)*100+MONTH(A79)</f>
        <v>202610</v>
      </c>
      <c r="D79" s="20" t="n">
        <f aca="false">IF(AND(A79&gt;=Inputs!$B$33,A79&lt;=Inputs!$B$34),INDEX(Inputs!$B$38:$B$49,11)*30*Inputs!$B$35/7,IF(MONTH(A79)=11,INDEX(Inputs!$B$38:$B$49,11)*30*(1-Inputs!$B$35)/23,INDEX(Inputs!$B$38:$B$49,MONTH(A79))))</f>
        <v>1</v>
      </c>
      <c r="E79" s="30" t="n">
        <f aca="false">IF(MONTH(A79)=1,(YEAR(A79)-1)*100+12,YEAR(A79)*100+MONTH(A79)-1)</f>
        <v>202609</v>
      </c>
      <c r="F79" s="20" t="n">
        <f aca="false">D79/SUMIFS($D$2:$D$176,$B$2:$B$176,B79)</f>
        <v>0.142857142857143</v>
      </c>
      <c r="G79" s="11" t="n">
        <f aca="false">INDEX(Forecast!$B$8:$Z$8,1,(B79)+13)*F79</f>
        <v>17938.336966677</v>
      </c>
      <c r="H79" s="11" t="n">
        <f aca="false">IF(B79&gt;=0,(INDEX(Forecast!$B$8:$Z$8,1,(B79)+13)*Inputs!$B$20+Inputs!$B$22)/7,IF(C79=202610,(Inputs!$B$21+Inputs!$B$22)/7,0))</f>
        <v>4276.10446233928</v>
      </c>
      <c r="I79" s="11" t="n">
        <f aca="false">IF(DAY(A79)=22,SUMIFS($H$2:$H$176,$C$2:$C$176,E79),0)</f>
        <v>0</v>
      </c>
      <c r="J79" s="11" t="n">
        <f aca="false">IF(DAY(A79)=1,Inputs!$B$24,0)</f>
        <v>0</v>
      </c>
      <c r="K79" s="11" t="n">
        <f aca="false">IF(DAY(A79)=1,Inputs!$B$30*Inputs!$B$31/12,0)</f>
        <v>0</v>
      </c>
      <c r="L79" s="11" t="n">
        <f aca="false">IF(DAY(A79)=20,Inputs!$B$25*SUMIFS($G$2:$G$176,$C$2:$C$176,E79),0)</f>
        <v>0</v>
      </c>
    </row>
    <row r="80" customFormat="false" ht="15" hidden="false" customHeight="false" outlineLevel="0" collapsed="false">
      <c r="A80" s="29" t="n">
        <v>46315</v>
      </c>
      <c r="B80" s="30" t="n">
        <f aca="false">INT((A80-Inputs!$B$5)/7)</f>
        <v>-1</v>
      </c>
      <c r="C80" s="30" t="n">
        <f aca="false">YEAR(A80)*100+MONTH(A80)</f>
        <v>202610</v>
      </c>
      <c r="D80" s="20" t="n">
        <f aca="false">IF(AND(A80&gt;=Inputs!$B$33,A80&lt;=Inputs!$B$34),INDEX(Inputs!$B$38:$B$49,11)*30*Inputs!$B$35/7,IF(MONTH(A80)=11,INDEX(Inputs!$B$38:$B$49,11)*30*(1-Inputs!$B$35)/23,INDEX(Inputs!$B$38:$B$49,MONTH(A80))))</f>
        <v>1</v>
      </c>
      <c r="E80" s="30" t="n">
        <f aca="false">IF(MONTH(A80)=1,(YEAR(A80)-1)*100+12,YEAR(A80)*100+MONTH(A80)-1)</f>
        <v>202609</v>
      </c>
      <c r="F80" s="20" t="n">
        <f aca="false">D80/SUMIFS($D$2:$D$176,$B$2:$B$176,B80)</f>
        <v>0.142857142857143</v>
      </c>
      <c r="G80" s="11" t="n">
        <f aca="false">INDEX(Forecast!$B$8:$Z$8,1,(B80)+13)*F80</f>
        <v>17938.336966677</v>
      </c>
      <c r="H80" s="11" t="n">
        <f aca="false">IF(B80&gt;=0,(INDEX(Forecast!$B$8:$Z$8,1,(B80)+13)*Inputs!$B$20+Inputs!$B$22)/7,IF(C80=202610,(Inputs!$B$21+Inputs!$B$22)/7,0))</f>
        <v>4276.10446233928</v>
      </c>
      <c r="I80" s="11" t="n">
        <f aca="false">IF(DAY(A80)=22,SUMIFS($H$2:$H$176,$C$2:$C$176,E80),0)</f>
        <v>0</v>
      </c>
      <c r="J80" s="11" t="n">
        <f aca="false">IF(DAY(A80)=1,Inputs!$B$24,0)</f>
        <v>0</v>
      </c>
      <c r="K80" s="11" t="n">
        <f aca="false">IF(DAY(A80)=1,Inputs!$B$30*Inputs!$B$31/12,0)</f>
        <v>0</v>
      </c>
      <c r="L80" s="11" t="n">
        <f aca="false">IF(DAY(A80)=20,Inputs!$B$25*SUMIFS($G$2:$G$176,$C$2:$C$176,E80),0)</f>
        <v>19373.4039240112</v>
      </c>
    </row>
    <row r="81" customFormat="false" ht="15" hidden="false" customHeight="false" outlineLevel="0" collapsed="false">
      <c r="A81" s="29" t="n">
        <v>46316</v>
      </c>
      <c r="B81" s="30" t="n">
        <f aca="false">INT((A81-Inputs!$B$5)/7)</f>
        <v>-1</v>
      </c>
      <c r="C81" s="30" t="n">
        <f aca="false">YEAR(A81)*100+MONTH(A81)</f>
        <v>202610</v>
      </c>
      <c r="D81" s="20" t="n">
        <f aca="false">IF(AND(A81&gt;=Inputs!$B$33,A81&lt;=Inputs!$B$34),INDEX(Inputs!$B$38:$B$49,11)*30*Inputs!$B$35/7,IF(MONTH(A81)=11,INDEX(Inputs!$B$38:$B$49,11)*30*(1-Inputs!$B$35)/23,INDEX(Inputs!$B$38:$B$49,MONTH(A81))))</f>
        <v>1</v>
      </c>
      <c r="E81" s="30" t="n">
        <f aca="false">IF(MONTH(A81)=1,(YEAR(A81)-1)*100+12,YEAR(A81)*100+MONTH(A81)-1)</f>
        <v>202609</v>
      </c>
      <c r="F81" s="20" t="n">
        <f aca="false">D81/SUMIFS($D$2:$D$176,$B$2:$B$176,B81)</f>
        <v>0.142857142857143</v>
      </c>
      <c r="G81" s="11" t="n">
        <f aca="false">INDEX(Forecast!$B$8:$Z$8,1,(B81)+13)*F81</f>
        <v>17938.336966677</v>
      </c>
      <c r="H81" s="11" t="n">
        <f aca="false">IF(B81&gt;=0,(INDEX(Forecast!$B$8:$Z$8,1,(B81)+13)*Inputs!$B$20+Inputs!$B$22)/7,IF(C81=202610,(Inputs!$B$21+Inputs!$B$22)/7,0))</f>
        <v>4276.10446233928</v>
      </c>
      <c r="I81" s="11" t="n">
        <f aca="false">IF(DAY(A81)=22,SUMIFS($H$2:$H$176,$C$2:$C$176,E81),0)</f>
        <v>0</v>
      </c>
      <c r="J81" s="11" t="n">
        <f aca="false">IF(DAY(A81)=1,Inputs!$B$24,0)</f>
        <v>0</v>
      </c>
      <c r="K81" s="11" t="n">
        <f aca="false">IF(DAY(A81)=1,Inputs!$B$30*Inputs!$B$31/12,0)</f>
        <v>0</v>
      </c>
      <c r="L81" s="11" t="n">
        <f aca="false">IF(DAY(A81)=20,Inputs!$B$25*SUMIFS($G$2:$G$176,$C$2:$C$176,E81),0)</f>
        <v>0</v>
      </c>
    </row>
    <row r="82" customFormat="false" ht="15" hidden="false" customHeight="false" outlineLevel="0" collapsed="false">
      <c r="A82" s="29" t="n">
        <v>46317</v>
      </c>
      <c r="B82" s="30" t="n">
        <f aca="false">INT((A82-Inputs!$B$5)/7)</f>
        <v>-1</v>
      </c>
      <c r="C82" s="30" t="n">
        <f aca="false">YEAR(A82)*100+MONTH(A82)</f>
        <v>202610</v>
      </c>
      <c r="D82" s="20" t="n">
        <f aca="false">IF(AND(A82&gt;=Inputs!$B$33,A82&lt;=Inputs!$B$34),INDEX(Inputs!$B$38:$B$49,11)*30*Inputs!$B$35/7,IF(MONTH(A82)=11,INDEX(Inputs!$B$38:$B$49,11)*30*(1-Inputs!$B$35)/23,INDEX(Inputs!$B$38:$B$49,MONTH(A82))))</f>
        <v>1</v>
      </c>
      <c r="E82" s="30" t="n">
        <f aca="false">IF(MONTH(A82)=1,(YEAR(A82)-1)*100+12,YEAR(A82)*100+MONTH(A82)-1)</f>
        <v>202609</v>
      </c>
      <c r="F82" s="20" t="n">
        <f aca="false">D82/SUMIFS($D$2:$D$176,$B$2:$B$176,B82)</f>
        <v>0.142857142857143</v>
      </c>
      <c r="G82" s="11" t="n">
        <f aca="false">INDEX(Forecast!$B$8:$Z$8,1,(B82)+13)*F82</f>
        <v>17938.336966677</v>
      </c>
      <c r="H82" s="11" t="n">
        <f aca="false">IF(B82&gt;=0,(INDEX(Forecast!$B$8:$Z$8,1,(B82)+13)*Inputs!$B$20+Inputs!$B$22)/7,IF(C82=202610,(Inputs!$B$21+Inputs!$B$22)/7,0))</f>
        <v>4276.10446233928</v>
      </c>
      <c r="I82" s="11" t="n">
        <f aca="false">IF(DAY(A82)=22,SUMIFS($H$2:$H$176,$C$2:$C$176,E82),0)</f>
        <v>0</v>
      </c>
      <c r="J82" s="11" t="n">
        <f aca="false">IF(DAY(A82)=1,Inputs!$B$24,0)</f>
        <v>0</v>
      </c>
      <c r="K82" s="11" t="n">
        <f aca="false">IF(DAY(A82)=1,Inputs!$B$30*Inputs!$B$31/12,0)</f>
        <v>0</v>
      </c>
      <c r="L82" s="11" t="n">
        <f aca="false">IF(DAY(A82)=20,Inputs!$B$25*SUMIFS($G$2:$G$176,$C$2:$C$176,E82),0)</f>
        <v>0</v>
      </c>
    </row>
    <row r="83" customFormat="false" ht="15" hidden="false" customHeight="false" outlineLevel="0" collapsed="false">
      <c r="A83" s="29" t="n">
        <v>46318</v>
      </c>
      <c r="B83" s="30" t="n">
        <f aca="false">INT((A83-Inputs!$B$5)/7)</f>
        <v>-1</v>
      </c>
      <c r="C83" s="30" t="n">
        <f aca="false">YEAR(A83)*100+MONTH(A83)</f>
        <v>202610</v>
      </c>
      <c r="D83" s="20" t="n">
        <f aca="false">IF(AND(A83&gt;=Inputs!$B$33,A83&lt;=Inputs!$B$34),INDEX(Inputs!$B$38:$B$49,11)*30*Inputs!$B$35/7,IF(MONTH(A83)=11,INDEX(Inputs!$B$38:$B$49,11)*30*(1-Inputs!$B$35)/23,INDEX(Inputs!$B$38:$B$49,MONTH(A83))))</f>
        <v>1</v>
      </c>
      <c r="E83" s="30" t="n">
        <f aca="false">IF(MONTH(A83)=1,(YEAR(A83)-1)*100+12,YEAR(A83)*100+MONTH(A83)-1)</f>
        <v>202609</v>
      </c>
      <c r="F83" s="20" t="n">
        <f aca="false">D83/SUMIFS($D$2:$D$176,$B$2:$B$176,B83)</f>
        <v>0.142857142857143</v>
      </c>
      <c r="G83" s="11" t="n">
        <f aca="false">INDEX(Forecast!$B$8:$Z$8,1,(B83)+13)*F83</f>
        <v>17938.336966677</v>
      </c>
      <c r="H83" s="11" t="n">
        <f aca="false">IF(B83&gt;=0,(INDEX(Forecast!$B$8:$Z$8,1,(B83)+13)*Inputs!$B$20+Inputs!$B$22)/7,IF(C83=202610,(Inputs!$B$21+Inputs!$B$22)/7,0))</f>
        <v>4276.10446233928</v>
      </c>
      <c r="I83" s="11" t="n">
        <f aca="false">IF(DAY(A83)=22,SUMIFS($H$2:$H$176,$C$2:$C$176,E83),0)</f>
        <v>0</v>
      </c>
      <c r="J83" s="11" t="n">
        <f aca="false">IF(DAY(A83)=1,Inputs!$B$24,0)</f>
        <v>0</v>
      </c>
      <c r="K83" s="11" t="n">
        <f aca="false">IF(DAY(A83)=1,Inputs!$B$30*Inputs!$B$31/12,0)</f>
        <v>0</v>
      </c>
      <c r="L83" s="11" t="n">
        <f aca="false">IF(DAY(A83)=20,Inputs!$B$25*SUMIFS($G$2:$G$176,$C$2:$C$176,E83),0)</f>
        <v>0</v>
      </c>
    </row>
    <row r="84" customFormat="false" ht="15" hidden="false" customHeight="false" outlineLevel="0" collapsed="false">
      <c r="A84" s="29" t="n">
        <v>46319</v>
      </c>
      <c r="B84" s="30" t="n">
        <f aca="false">INT((A84-Inputs!$B$5)/7)</f>
        <v>-1</v>
      </c>
      <c r="C84" s="30" t="n">
        <f aca="false">YEAR(A84)*100+MONTH(A84)</f>
        <v>202610</v>
      </c>
      <c r="D84" s="20" t="n">
        <f aca="false">IF(AND(A84&gt;=Inputs!$B$33,A84&lt;=Inputs!$B$34),INDEX(Inputs!$B$38:$B$49,11)*30*Inputs!$B$35/7,IF(MONTH(A84)=11,INDEX(Inputs!$B$38:$B$49,11)*30*(1-Inputs!$B$35)/23,INDEX(Inputs!$B$38:$B$49,MONTH(A84))))</f>
        <v>1</v>
      </c>
      <c r="E84" s="30" t="n">
        <f aca="false">IF(MONTH(A84)=1,(YEAR(A84)-1)*100+12,YEAR(A84)*100+MONTH(A84)-1)</f>
        <v>202609</v>
      </c>
      <c r="F84" s="20" t="n">
        <f aca="false">D84/SUMIFS($D$2:$D$176,$B$2:$B$176,B84)</f>
        <v>0.142857142857143</v>
      </c>
      <c r="G84" s="11" t="n">
        <f aca="false">INDEX(Forecast!$B$8:$Z$8,1,(B84)+13)*F84</f>
        <v>17938.336966677</v>
      </c>
      <c r="H84" s="11" t="n">
        <f aca="false">IF(B84&gt;=0,(INDEX(Forecast!$B$8:$Z$8,1,(B84)+13)*Inputs!$B$20+Inputs!$B$22)/7,IF(C84=202610,(Inputs!$B$21+Inputs!$B$22)/7,0))</f>
        <v>4276.10446233928</v>
      </c>
      <c r="I84" s="11" t="n">
        <f aca="false">IF(DAY(A84)=22,SUMIFS($H$2:$H$176,$C$2:$C$176,E84),0)</f>
        <v>0</v>
      </c>
      <c r="J84" s="11" t="n">
        <f aca="false">IF(DAY(A84)=1,Inputs!$B$24,0)</f>
        <v>0</v>
      </c>
      <c r="K84" s="11" t="n">
        <f aca="false">IF(DAY(A84)=1,Inputs!$B$30*Inputs!$B$31/12,0)</f>
        <v>0</v>
      </c>
      <c r="L84" s="11" t="n">
        <f aca="false">IF(DAY(A84)=20,Inputs!$B$25*SUMIFS($G$2:$G$176,$C$2:$C$176,E84),0)</f>
        <v>0</v>
      </c>
    </row>
    <row r="85" customFormat="false" ht="15" hidden="false" customHeight="false" outlineLevel="0" collapsed="false">
      <c r="A85" s="29" t="n">
        <v>46320</v>
      </c>
      <c r="B85" s="30" t="n">
        <f aca="false">INT((A85-Inputs!$B$5)/7)</f>
        <v>-1</v>
      </c>
      <c r="C85" s="30" t="n">
        <f aca="false">YEAR(A85)*100+MONTH(A85)</f>
        <v>202610</v>
      </c>
      <c r="D85" s="20" t="n">
        <f aca="false">IF(AND(A85&gt;=Inputs!$B$33,A85&lt;=Inputs!$B$34),INDEX(Inputs!$B$38:$B$49,11)*30*Inputs!$B$35/7,IF(MONTH(A85)=11,INDEX(Inputs!$B$38:$B$49,11)*30*(1-Inputs!$B$35)/23,INDEX(Inputs!$B$38:$B$49,MONTH(A85))))</f>
        <v>1</v>
      </c>
      <c r="E85" s="30" t="n">
        <f aca="false">IF(MONTH(A85)=1,(YEAR(A85)-1)*100+12,YEAR(A85)*100+MONTH(A85)-1)</f>
        <v>202609</v>
      </c>
      <c r="F85" s="20" t="n">
        <f aca="false">D85/SUMIFS($D$2:$D$176,$B$2:$B$176,B85)</f>
        <v>0.142857142857143</v>
      </c>
      <c r="G85" s="11" t="n">
        <f aca="false">INDEX(Forecast!$B$8:$Z$8,1,(B85)+13)*F85</f>
        <v>17938.336966677</v>
      </c>
      <c r="H85" s="11" t="n">
        <f aca="false">IF(B85&gt;=0,(INDEX(Forecast!$B$8:$Z$8,1,(B85)+13)*Inputs!$B$20+Inputs!$B$22)/7,IF(C85=202610,(Inputs!$B$21+Inputs!$B$22)/7,0))</f>
        <v>4276.10446233928</v>
      </c>
      <c r="I85" s="11" t="n">
        <f aca="false">IF(DAY(A85)=22,SUMIFS($H$2:$H$176,$C$2:$C$176,E85),0)</f>
        <v>0</v>
      </c>
      <c r="J85" s="11" t="n">
        <f aca="false">IF(DAY(A85)=1,Inputs!$B$24,0)</f>
        <v>0</v>
      </c>
      <c r="K85" s="11" t="n">
        <f aca="false">IF(DAY(A85)=1,Inputs!$B$30*Inputs!$B$31/12,0)</f>
        <v>0</v>
      </c>
      <c r="L85" s="11" t="n">
        <f aca="false">IF(DAY(A85)=20,Inputs!$B$25*SUMIFS($G$2:$G$176,$C$2:$C$176,E85),0)</f>
        <v>0</v>
      </c>
    </row>
    <row r="86" customFormat="false" ht="15" hidden="false" customHeight="false" outlineLevel="0" collapsed="false">
      <c r="A86" s="29" t="n">
        <v>46321</v>
      </c>
      <c r="B86" s="30" t="n">
        <f aca="false">INT((A86-Inputs!$B$5)/7)</f>
        <v>0</v>
      </c>
      <c r="C86" s="30" t="n">
        <f aca="false">YEAR(A86)*100+MONTH(A86)</f>
        <v>202610</v>
      </c>
      <c r="D86" s="20" t="n">
        <f aca="false">IF(AND(A86&gt;=Inputs!$B$33,A86&lt;=Inputs!$B$34),INDEX(Inputs!$B$38:$B$49,11)*30*Inputs!$B$35/7,IF(MONTH(A86)=11,INDEX(Inputs!$B$38:$B$49,11)*30*(1-Inputs!$B$35)/23,INDEX(Inputs!$B$38:$B$49,MONTH(A86))))</f>
        <v>1</v>
      </c>
      <c r="E86" s="30" t="n">
        <f aca="false">IF(MONTH(A86)=1,(YEAR(A86)-1)*100+12,YEAR(A86)*100+MONTH(A86)-1)</f>
        <v>202609</v>
      </c>
      <c r="F86" s="20" t="n">
        <f aca="false">D86/SUMIFS($D$2:$D$176,$B$2:$B$176,B86)</f>
        <v>0.130830489192264</v>
      </c>
      <c r="G86" s="11" t="n">
        <f aca="false">INDEX(Forecast!$B$8:$Z$8,1,(B86)+13)*F86</f>
        <v>17938.336966677</v>
      </c>
      <c r="H86" s="11" t="n">
        <f aca="false">IF(B86&gt;=0,(INDEX(Forecast!$B$8:$Z$8,1,(B86)+13)*Inputs!$B$20+Inputs!$B$22)/7,IF(C86=202610,(Inputs!$B$21+Inputs!$B$22)/7,0))</f>
        <v>4638.88225838587</v>
      </c>
      <c r="I86" s="11" t="n">
        <f aca="false">IF(DAY(A86)=22,SUMIFS($H$2:$H$176,$C$2:$C$176,E86),0)</f>
        <v>0</v>
      </c>
      <c r="J86" s="11" t="n">
        <f aca="false">IF(DAY(A86)=1,Inputs!$B$24,0)</f>
        <v>0</v>
      </c>
      <c r="K86" s="11" t="n">
        <f aca="false">IF(DAY(A86)=1,Inputs!$B$30*Inputs!$B$31/12,0)</f>
        <v>0</v>
      </c>
      <c r="L86" s="11" t="n">
        <f aca="false">IF(DAY(A86)=20,Inputs!$B$25*SUMIFS($G$2:$G$176,$C$2:$C$176,E86),0)</f>
        <v>0</v>
      </c>
    </row>
    <row r="87" customFormat="false" ht="15" hidden="false" customHeight="false" outlineLevel="0" collapsed="false">
      <c r="A87" s="29" t="n">
        <v>46322</v>
      </c>
      <c r="B87" s="30" t="n">
        <f aca="false">INT((A87-Inputs!$B$5)/7)</f>
        <v>0</v>
      </c>
      <c r="C87" s="30" t="n">
        <f aca="false">YEAR(A87)*100+MONTH(A87)</f>
        <v>202610</v>
      </c>
      <c r="D87" s="20" t="n">
        <f aca="false">IF(AND(A87&gt;=Inputs!$B$33,A87&lt;=Inputs!$B$34),INDEX(Inputs!$B$38:$B$49,11)*30*Inputs!$B$35/7,IF(MONTH(A87)=11,INDEX(Inputs!$B$38:$B$49,11)*30*(1-Inputs!$B$35)/23,INDEX(Inputs!$B$38:$B$49,MONTH(A87))))</f>
        <v>1</v>
      </c>
      <c r="E87" s="30" t="n">
        <f aca="false">IF(MONTH(A87)=1,(YEAR(A87)-1)*100+12,YEAR(A87)*100+MONTH(A87)-1)</f>
        <v>202609</v>
      </c>
      <c r="F87" s="20" t="n">
        <f aca="false">D87/SUMIFS($D$2:$D$176,$B$2:$B$176,B87)</f>
        <v>0.130830489192264</v>
      </c>
      <c r="G87" s="11" t="n">
        <f aca="false">INDEX(Forecast!$B$8:$Z$8,1,(B87)+13)*F87</f>
        <v>17938.336966677</v>
      </c>
      <c r="H87" s="11" t="n">
        <f aca="false">IF(B87&gt;=0,(INDEX(Forecast!$B$8:$Z$8,1,(B87)+13)*Inputs!$B$20+Inputs!$B$22)/7,IF(C87=202610,(Inputs!$B$21+Inputs!$B$22)/7,0))</f>
        <v>4638.88225838587</v>
      </c>
      <c r="I87" s="11" t="n">
        <f aca="false">IF(DAY(A87)=22,SUMIFS($H$2:$H$176,$C$2:$C$176,E87),0)</f>
        <v>0</v>
      </c>
      <c r="J87" s="11" t="n">
        <f aca="false">IF(DAY(A87)=1,Inputs!$B$24,0)</f>
        <v>0</v>
      </c>
      <c r="K87" s="11" t="n">
        <f aca="false">IF(DAY(A87)=1,Inputs!$B$30*Inputs!$B$31/12,0)</f>
        <v>0</v>
      </c>
      <c r="L87" s="11" t="n">
        <f aca="false">IF(DAY(A87)=20,Inputs!$B$25*SUMIFS($G$2:$G$176,$C$2:$C$176,E87),0)</f>
        <v>0</v>
      </c>
    </row>
    <row r="88" customFormat="false" ht="15" hidden="false" customHeight="false" outlineLevel="0" collapsed="false">
      <c r="A88" s="29" t="n">
        <v>46323</v>
      </c>
      <c r="B88" s="30" t="n">
        <f aca="false">INT((A88-Inputs!$B$5)/7)</f>
        <v>0</v>
      </c>
      <c r="C88" s="30" t="n">
        <f aca="false">YEAR(A88)*100+MONTH(A88)</f>
        <v>202610</v>
      </c>
      <c r="D88" s="20" t="n">
        <f aca="false">IF(AND(A88&gt;=Inputs!$B$33,A88&lt;=Inputs!$B$34),INDEX(Inputs!$B$38:$B$49,11)*30*Inputs!$B$35/7,IF(MONTH(A88)=11,INDEX(Inputs!$B$38:$B$49,11)*30*(1-Inputs!$B$35)/23,INDEX(Inputs!$B$38:$B$49,MONTH(A88))))</f>
        <v>1</v>
      </c>
      <c r="E88" s="30" t="n">
        <f aca="false">IF(MONTH(A88)=1,(YEAR(A88)-1)*100+12,YEAR(A88)*100+MONTH(A88)-1)</f>
        <v>202609</v>
      </c>
      <c r="F88" s="20" t="n">
        <f aca="false">D88/SUMIFS($D$2:$D$176,$B$2:$B$176,B88)</f>
        <v>0.130830489192264</v>
      </c>
      <c r="G88" s="11" t="n">
        <f aca="false">INDEX(Forecast!$B$8:$Z$8,1,(B88)+13)*F88</f>
        <v>17938.336966677</v>
      </c>
      <c r="H88" s="11" t="n">
        <f aca="false">IF(B88&gt;=0,(INDEX(Forecast!$B$8:$Z$8,1,(B88)+13)*Inputs!$B$20+Inputs!$B$22)/7,IF(C88=202610,(Inputs!$B$21+Inputs!$B$22)/7,0))</f>
        <v>4638.88225838587</v>
      </c>
      <c r="I88" s="11" t="n">
        <f aca="false">IF(DAY(A88)=22,SUMIFS($H$2:$H$176,$C$2:$C$176,E88),0)</f>
        <v>0</v>
      </c>
      <c r="J88" s="11" t="n">
        <f aca="false">IF(DAY(A88)=1,Inputs!$B$24,0)</f>
        <v>0</v>
      </c>
      <c r="K88" s="11" t="n">
        <f aca="false">IF(DAY(A88)=1,Inputs!$B$30*Inputs!$B$31/12,0)</f>
        <v>0</v>
      </c>
      <c r="L88" s="11" t="n">
        <f aca="false">IF(DAY(A88)=20,Inputs!$B$25*SUMIFS($G$2:$G$176,$C$2:$C$176,E88),0)</f>
        <v>0</v>
      </c>
    </row>
    <row r="89" customFormat="false" ht="15" hidden="false" customHeight="false" outlineLevel="0" collapsed="false">
      <c r="A89" s="29" t="n">
        <v>46324</v>
      </c>
      <c r="B89" s="30" t="n">
        <f aca="false">INT((A89-Inputs!$B$5)/7)</f>
        <v>0</v>
      </c>
      <c r="C89" s="30" t="n">
        <f aca="false">YEAR(A89)*100+MONTH(A89)</f>
        <v>202610</v>
      </c>
      <c r="D89" s="20" t="n">
        <f aca="false">IF(AND(A89&gt;=Inputs!$B$33,A89&lt;=Inputs!$B$34),INDEX(Inputs!$B$38:$B$49,11)*30*Inputs!$B$35/7,IF(MONTH(A89)=11,INDEX(Inputs!$B$38:$B$49,11)*30*(1-Inputs!$B$35)/23,INDEX(Inputs!$B$38:$B$49,MONTH(A89))))</f>
        <v>1</v>
      </c>
      <c r="E89" s="30" t="n">
        <f aca="false">IF(MONTH(A89)=1,(YEAR(A89)-1)*100+12,YEAR(A89)*100+MONTH(A89)-1)</f>
        <v>202609</v>
      </c>
      <c r="F89" s="20" t="n">
        <f aca="false">D89/SUMIFS($D$2:$D$176,$B$2:$B$176,B89)</f>
        <v>0.130830489192264</v>
      </c>
      <c r="G89" s="11" t="n">
        <f aca="false">INDEX(Forecast!$B$8:$Z$8,1,(B89)+13)*F89</f>
        <v>17938.336966677</v>
      </c>
      <c r="H89" s="11" t="n">
        <f aca="false">IF(B89&gt;=0,(INDEX(Forecast!$B$8:$Z$8,1,(B89)+13)*Inputs!$B$20+Inputs!$B$22)/7,IF(C89=202610,(Inputs!$B$21+Inputs!$B$22)/7,0))</f>
        <v>4638.88225838587</v>
      </c>
      <c r="I89" s="11" t="n">
        <f aca="false">IF(DAY(A89)=22,SUMIFS($H$2:$H$176,$C$2:$C$176,E89),0)</f>
        <v>0</v>
      </c>
      <c r="J89" s="11" t="n">
        <f aca="false">IF(DAY(A89)=1,Inputs!$B$24,0)</f>
        <v>0</v>
      </c>
      <c r="K89" s="11" t="n">
        <f aca="false">IF(DAY(A89)=1,Inputs!$B$30*Inputs!$B$31/12,0)</f>
        <v>0</v>
      </c>
      <c r="L89" s="11" t="n">
        <f aca="false">IF(DAY(A89)=20,Inputs!$B$25*SUMIFS($G$2:$G$176,$C$2:$C$176,E89),0)</f>
        <v>0</v>
      </c>
    </row>
    <row r="90" customFormat="false" ht="15" hidden="false" customHeight="false" outlineLevel="0" collapsed="false">
      <c r="A90" s="29" t="n">
        <v>46325</v>
      </c>
      <c r="B90" s="30" t="n">
        <f aca="false">INT((A90-Inputs!$B$5)/7)</f>
        <v>0</v>
      </c>
      <c r="C90" s="30" t="n">
        <f aca="false">YEAR(A90)*100+MONTH(A90)</f>
        <v>202610</v>
      </c>
      <c r="D90" s="20" t="n">
        <f aca="false">IF(AND(A90&gt;=Inputs!$B$33,A90&lt;=Inputs!$B$34),INDEX(Inputs!$B$38:$B$49,11)*30*Inputs!$B$35/7,IF(MONTH(A90)=11,INDEX(Inputs!$B$38:$B$49,11)*30*(1-Inputs!$B$35)/23,INDEX(Inputs!$B$38:$B$49,MONTH(A90))))</f>
        <v>1</v>
      </c>
      <c r="E90" s="30" t="n">
        <f aca="false">IF(MONTH(A90)=1,(YEAR(A90)-1)*100+12,YEAR(A90)*100+MONTH(A90)-1)</f>
        <v>202609</v>
      </c>
      <c r="F90" s="20" t="n">
        <f aca="false">D90/SUMIFS($D$2:$D$176,$B$2:$B$176,B90)</f>
        <v>0.130830489192264</v>
      </c>
      <c r="G90" s="11" t="n">
        <f aca="false">INDEX(Forecast!$B$8:$Z$8,1,(B90)+13)*F90</f>
        <v>17938.336966677</v>
      </c>
      <c r="H90" s="11" t="n">
        <f aca="false">IF(B90&gt;=0,(INDEX(Forecast!$B$8:$Z$8,1,(B90)+13)*Inputs!$B$20+Inputs!$B$22)/7,IF(C90=202610,(Inputs!$B$21+Inputs!$B$22)/7,0))</f>
        <v>4638.88225838587</v>
      </c>
      <c r="I90" s="11" t="n">
        <f aca="false">IF(DAY(A90)=22,SUMIFS($H$2:$H$176,$C$2:$C$176,E90),0)</f>
        <v>0</v>
      </c>
      <c r="J90" s="11" t="n">
        <f aca="false">IF(DAY(A90)=1,Inputs!$B$24,0)</f>
        <v>0</v>
      </c>
      <c r="K90" s="11" t="n">
        <f aca="false">IF(DAY(A90)=1,Inputs!$B$30*Inputs!$B$31/12,0)</f>
        <v>0</v>
      </c>
      <c r="L90" s="11" t="n">
        <f aca="false">IF(DAY(A90)=20,Inputs!$B$25*SUMIFS($G$2:$G$176,$C$2:$C$176,E90),0)</f>
        <v>0</v>
      </c>
    </row>
    <row r="91" customFormat="false" ht="15" hidden="false" customHeight="false" outlineLevel="0" collapsed="false">
      <c r="A91" s="29" t="n">
        <v>46326</v>
      </c>
      <c r="B91" s="30" t="n">
        <f aca="false">INT((A91-Inputs!$B$5)/7)</f>
        <v>0</v>
      </c>
      <c r="C91" s="30" t="n">
        <f aca="false">YEAR(A91)*100+MONTH(A91)</f>
        <v>202610</v>
      </c>
      <c r="D91" s="20" t="n">
        <f aca="false">IF(AND(A91&gt;=Inputs!$B$33,A91&lt;=Inputs!$B$34),INDEX(Inputs!$B$38:$B$49,11)*30*Inputs!$B$35/7,IF(MONTH(A91)=11,INDEX(Inputs!$B$38:$B$49,11)*30*(1-Inputs!$B$35)/23,INDEX(Inputs!$B$38:$B$49,MONTH(A91))))</f>
        <v>1</v>
      </c>
      <c r="E91" s="30" t="n">
        <f aca="false">IF(MONTH(A91)=1,(YEAR(A91)-1)*100+12,YEAR(A91)*100+MONTH(A91)-1)</f>
        <v>202609</v>
      </c>
      <c r="F91" s="20" t="n">
        <f aca="false">D91/SUMIFS($D$2:$D$176,$B$2:$B$176,B91)</f>
        <v>0.130830489192264</v>
      </c>
      <c r="G91" s="11" t="n">
        <f aca="false">INDEX(Forecast!$B$8:$Z$8,1,(B91)+13)*F91</f>
        <v>17938.336966677</v>
      </c>
      <c r="H91" s="11" t="n">
        <f aca="false">IF(B91&gt;=0,(INDEX(Forecast!$B$8:$Z$8,1,(B91)+13)*Inputs!$B$20+Inputs!$B$22)/7,IF(C91=202610,(Inputs!$B$21+Inputs!$B$22)/7,0))</f>
        <v>4638.88225838587</v>
      </c>
      <c r="I91" s="11" t="n">
        <f aca="false">IF(DAY(A91)=22,SUMIFS($H$2:$H$176,$C$2:$C$176,E91),0)</f>
        <v>0</v>
      </c>
      <c r="J91" s="11" t="n">
        <f aca="false">IF(DAY(A91)=1,Inputs!$B$24,0)</f>
        <v>0</v>
      </c>
      <c r="K91" s="11" t="n">
        <f aca="false">IF(DAY(A91)=1,Inputs!$B$30*Inputs!$B$31/12,0)</f>
        <v>0</v>
      </c>
      <c r="L91" s="11" t="n">
        <f aca="false">IF(DAY(A91)=20,Inputs!$B$25*SUMIFS($G$2:$G$176,$C$2:$C$176,E91),0)</f>
        <v>0</v>
      </c>
    </row>
    <row r="92" customFormat="false" ht="15" hidden="false" customHeight="false" outlineLevel="0" collapsed="false">
      <c r="A92" s="29" t="n">
        <v>46327</v>
      </c>
      <c r="B92" s="30" t="n">
        <f aca="false">INT((A92-Inputs!$B$5)/7)</f>
        <v>0</v>
      </c>
      <c r="C92" s="30" t="n">
        <f aca="false">YEAR(A92)*100+MONTH(A92)</f>
        <v>202611</v>
      </c>
      <c r="D92" s="20" t="n">
        <f aca="false">IF(AND(A92&gt;=Inputs!$B$33,A92&lt;=Inputs!$B$34),INDEX(Inputs!$B$38:$B$49,11)*30*Inputs!$B$35/7,IF(MONTH(A92)=11,INDEX(Inputs!$B$38:$B$49,11)*30*(1-Inputs!$B$35)/23,INDEX(Inputs!$B$38:$B$49,MONTH(A92))))</f>
        <v>1.64347826086957</v>
      </c>
      <c r="E92" s="30" t="n">
        <f aca="false">IF(MONTH(A92)=1,(YEAR(A92)-1)*100+12,YEAR(A92)*100+MONTH(A92)-1)</f>
        <v>202610</v>
      </c>
      <c r="F92" s="20" t="n">
        <f aca="false">D92/SUMIFS($D$2:$D$176,$B$2:$B$176,B92)</f>
        <v>0.215017064846416</v>
      </c>
      <c r="G92" s="11" t="n">
        <f aca="false">INDEX(Forecast!$B$8:$Z$8,1,(B92)+13)*F92</f>
        <v>29481.2668408866</v>
      </c>
      <c r="H92" s="11" t="n">
        <f aca="false">IF(B92&gt;=0,(INDEX(Forecast!$B$8:$Z$8,1,(B92)+13)*Inputs!$B$20+Inputs!$B$22)/7,IF(C92=202610,(Inputs!$B$21+Inputs!$B$22)/7,0))</f>
        <v>4638.88225838587</v>
      </c>
      <c r="I92" s="11" t="n">
        <f aca="false">IF(DAY(A92)=22,SUMIFS($H$2:$H$176,$C$2:$C$176,E92),0)</f>
        <v>0</v>
      </c>
      <c r="J92" s="11" t="n">
        <f aca="false">IF(DAY(A92)=1,Inputs!$B$24,0)</f>
        <v>24000</v>
      </c>
      <c r="K92" s="11" t="n">
        <f aca="false">IF(DAY(A92)=1,Inputs!$B$30*Inputs!$B$31/12,0)</f>
        <v>3666.66666666667</v>
      </c>
      <c r="L92" s="11" t="n">
        <f aca="false">IF(DAY(A92)=20,Inputs!$B$25*SUMIFS($G$2:$G$176,$C$2:$C$176,E92),0)</f>
        <v>0</v>
      </c>
    </row>
    <row r="93" customFormat="false" ht="15" hidden="false" customHeight="false" outlineLevel="0" collapsed="false">
      <c r="A93" s="29" t="n">
        <v>46328</v>
      </c>
      <c r="B93" s="30" t="n">
        <f aca="false">INT((A93-Inputs!$B$5)/7)</f>
        <v>1</v>
      </c>
      <c r="C93" s="30" t="n">
        <f aca="false">YEAR(A93)*100+MONTH(A93)</f>
        <v>202611</v>
      </c>
      <c r="D93" s="20" t="n">
        <f aca="false">IF(AND(A93&gt;=Inputs!$B$33,A93&lt;=Inputs!$B$34),INDEX(Inputs!$B$38:$B$49,11)*30*Inputs!$B$35/7,IF(MONTH(A93)=11,INDEX(Inputs!$B$38:$B$49,11)*30*(1-Inputs!$B$35)/23,INDEX(Inputs!$B$38:$B$49,MONTH(A93))))</f>
        <v>1.64347826086957</v>
      </c>
      <c r="E93" s="30" t="n">
        <f aca="false">IF(MONTH(A93)=1,(YEAR(A93)-1)*100+12,YEAR(A93)*100+MONTH(A93)-1)</f>
        <v>202610</v>
      </c>
      <c r="F93" s="20" t="n">
        <f aca="false">D93/SUMIFS($D$2:$D$176,$B$2:$B$176,B93)</f>
        <v>0.142857142857143</v>
      </c>
      <c r="G93" s="11" t="n">
        <f aca="false">INDEX(Forecast!$B$8:$Z$8,1,(B93)+13)*F93</f>
        <v>29481.2668408866</v>
      </c>
      <c r="H93" s="11" t="n">
        <f aca="false">IF(B93&gt;=0,(INDEX(Forecast!$B$8:$Z$8,1,(B93)+13)*Inputs!$B$20+Inputs!$B$22)/7,IF(C93=202610,(Inputs!$B$21+Inputs!$B$22)/7,0))</f>
        <v>6815.54903466538</v>
      </c>
      <c r="I93" s="11" t="n">
        <f aca="false">IF(DAY(A93)=22,SUMIFS($H$2:$H$176,$C$2:$C$176,E93),0)</f>
        <v>0</v>
      </c>
      <c r="J93" s="11" t="n">
        <f aca="false">IF(DAY(A93)=1,Inputs!$B$24,0)</f>
        <v>0</v>
      </c>
      <c r="K93" s="11" t="n">
        <f aca="false">IF(DAY(A93)=1,Inputs!$B$30*Inputs!$B$31/12,0)</f>
        <v>0</v>
      </c>
      <c r="L93" s="11" t="n">
        <f aca="false">IF(DAY(A93)=20,Inputs!$B$25*SUMIFS($G$2:$G$176,$C$2:$C$176,E93),0)</f>
        <v>0</v>
      </c>
    </row>
    <row r="94" customFormat="false" ht="15" hidden="false" customHeight="false" outlineLevel="0" collapsed="false">
      <c r="A94" s="29" t="n">
        <v>46329</v>
      </c>
      <c r="B94" s="30" t="n">
        <f aca="false">INT((A94-Inputs!$B$5)/7)</f>
        <v>1</v>
      </c>
      <c r="C94" s="30" t="n">
        <f aca="false">YEAR(A94)*100+MONTH(A94)</f>
        <v>202611</v>
      </c>
      <c r="D94" s="20" t="n">
        <f aca="false">IF(AND(A94&gt;=Inputs!$B$33,A94&lt;=Inputs!$B$34),INDEX(Inputs!$B$38:$B$49,11)*30*Inputs!$B$35/7,IF(MONTH(A94)=11,INDEX(Inputs!$B$38:$B$49,11)*30*(1-Inputs!$B$35)/23,INDEX(Inputs!$B$38:$B$49,MONTH(A94))))</f>
        <v>1.64347826086957</v>
      </c>
      <c r="E94" s="30" t="n">
        <f aca="false">IF(MONTH(A94)=1,(YEAR(A94)-1)*100+12,YEAR(A94)*100+MONTH(A94)-1)</f>
        <v>202610</v>
      </c>
      <c r="F94" s="20" t="n">
        <f aca="false">D94/SUMIFS($D$2:$D$176,$B$2:$B$176,B94)</f>
        <v>0.142857142857143</v>
      </c>
      <c r="G94" s="11" t="n">
        <f aca="false">INDEX(Forecast!$B$8:$Z$8,1,(B94)+13)*F94</f>
        <v>29481.2668408866</v>
      </c>
      <c r="H94" s="11" t="n">
        <f aca="false">IF(B94&gt;=0,(INDEX(Forecast!$B$8:$Z$8,1,(B94)+13)*Inputs!$B$20+Inputs!$B$22)/7,IF(C94=202610,(Inputs!$B$21+Inputs!$B$22)/7,0))</f>
        <v>6815.54903466538</v>
      </c>
      <c r="I94" s="11" t="n">
        <f aca="false">IF(DAY(A94)=22,SUMIFS($H$2:$H$176,$C$2:$C$176,E94),0)</f>
        <v>0</v>
      </c>
      <c r="J94" s="11" t="n">
        <f aca="false">IF(DAY(A94)=1,Inputs!$B$24,0)</f>
        <v>0</v>
      </c>
      <c r="K94" s="11" t="n">
        <f aca="false">IF(DAY(A94)=1,Inputs!$B$30*Inputs!$B$31/12,0)</f>
        <v>0</v>
      </c>
      <c r="L94" s="11" t="n">
        <f aca="false">IF(DAY(A94)=20,Inputs!$B$25*SUMIFS($G$2:$G$176,$C$2:$C$176,E94),0)</f>
        <v>0</v>
      </c>
    </row>
    <row r="95" customFormat="false" ht="15" hidden="false" customHeight="false" outlineLevel="0" collapsed="false">
      <c r="A95" s="29" t="n">
        <v>46330</v>
      </c>
      <c r="B95" s="30" t="n">
        <f aca="false">INT((A95-Inputs!$B$5)/7)</f>
        <v>1</v>
      </c>
      <c r="C95" s="30" t="n">
        <f aca="false">YEAR(A95)*100+MONTH(A95)</f>
        <v>202611</v>
      </c>
      <c r="D95" s="20" t="n">
        <f aca="false">IF(AND(A95&gt;=Inputs!$B$33,A95&lt;=Inputs!$B$34),INDEX(Inputs!$B$38:$B$49,11)*30*Inputs!$B$35/7,IF(MONTH(A95)=11,INDEX(Inputs!$B$38:$B$49,11)*30*(1-Inputs!$B$35)/23,INDEX(Inputs!$B$38:$B$49,MONTH(A95))))</f>
        <v>1.64347826086957</v>
      </c>
      <c r="E95" s="30" t="n">
        <f aca="false">IF(MONTH(A95)=1,(YEAR(A95)-1)*100+12,YEAR(A95)*100+MONTH(A95)-1)</f>
        <v>202610</v>
      </c>
      <c r="F95" s="20" t="n">
        <f aca="false">D95/SUMIFS($D$2:$D$176,$B$2:$B$176,B95)</f>
        <v>0.142857142857143</v>
      </c>
      <c r="G95" s="11" t="n">
        <f aca="false">INDEX(Forecast!$B$8:$Z$8,1,(B95)+13)*F95</f>
        <v>29481.2668408866</v>
      </c>
      <c r="H95" s="11" t="n">
        <f aca="false">IF(B95&gt;=0,(INDEX(Forecast!$B$8:$Z$8,1,(B95)+13)*Inputs!$B$20+Inputs!$B$22)/7,IF(C95=202610,(Inputs!$B$21+Inputs!$B$22)/7,0))</f>
        <v>6815.54903466538</v>
      </c>
      <c r="I95" s="11" t="n">
        <f aca="false">IF(DAY(A95)=22,SUMIFS($H$2:$H$176,$C$2:$C$176,E95),0)</f>
        <v>0</v>
      </c>
      <c r="J95" s="11" t="n">
        <f aca="false">IF(DAY(A95)=1,Inputs!$B$24,0)</f>
        <v>0</v>
      </c>
      <c r="K95" s="11" t="n">
        <f aca="false">IF(DAY(A95)=1,Inputs!$B$30*Inputs!$B$31/12,0)</f>
        <v>0</v>
      </c>
      <c r="L95" s="11" t="n">
        <f aca="false">IF(DAY(A95)=20,Inputs!$B$25*SUMIFS($G$2:$G$176,$C$2:$C$176,E95),0)</f>
        <v>0</v>
      </c>
    </row>
    <row r="96" customFormat="false" ht="15" hidden="false" customHeight="false" outlineLevel="0" collapsed="false">
      <c r="A96" s="29" t="n">
        <v>46331</v>
      </c>
      <c r="B96" s="30" t="n">
        <f aca="false">INT((A96-Inputs!$B$5)/7)</f>
        <v>1</v>
      </c>
      <c r="C96" s="30" t="n">
        <f aca="false">YEAR(A96)*100+MONTH(A96)</f>
        <v>202611</v>
      </c>
      <c r="D96" s="20" t="n">
        <f aca="false">IF(AND(A96&gt;=Inputs!$B$33,A96&lt;=Inputs!$B$34),INDEX(Inputs!$B$38:$B$49,11)*30*Inputs!$B$35/7,IF(MONTH(A96)=11,INDEX(Inputs!$B$38:$B$49,11)*30*(1-Inputs!$B$35)/23,INDEX(Inputs!$B$38:$B$49,MONTH(A96))))</f>
        <v>1.64347826086957</v>
      </c>
      <c r="E96" s="30" t="n">
        <f aca="false">IF(MONTH(A96)=1,(YEAR(A96)-1)*100+12,YEAR(A96)*100+MONTH(A96)-1)</f>
        <v>202610</v>
      </c>
      <c r="F96" s="20" t="n">
        <f aca="false">D96/SUMIFS($D$2:$D$176,$B$2:$B$176,B96)</f>
        <v>0.142857142857143</v>
      </c>
      <c r="G96" s="11" t="n">
        <f aca="false">INDEX(Forecast!$B$8:$Z$8,1,(B96)+13)*F96</f>
        <v>29481.2668408866</v>
      </c>
      <c r="H96" s="11" t="n">
        <f aca="false">IF(B96&gt;=0,(INDEX(Forecast!$B$8:$Z$8,1,(B96)+13)*Inputs!$B$20+Inputs!$B$22)/7,IF(C96=202610,(Inputs!$B$21+Inputs!$B$22)/7,0))</f>
        <v>6815.54903466538</v>
      </c>
      <c r="I96" s="11" t="n">
        <f aca="false">IF(DAY(A96)=22,SUMIFS($H$2:$H$176,$C$2:$C$176,E96),0)</f>
        <v>0</v>
      </c>
      <c r="J96" s="11" t="n">
        <f aca="false">IF(DAY(A96)=1,Inputs!$B$24,0)</f>
        <v>0</v>
      </c>
      <c r="K96" s="11" t="n">
        <f aca="false">IF(DAY(A96)=1,Inputs!$B$30*Inputs!$B$31/12,0)</f>
        <v>0</v>
      </c>
      <c r="L96" s="11" t="n">
        <f aca="false">IF(DAY(A96)=20,Inputs!$B$25*SUMIFS($G$2:$G$176,$C$2:$C$176,E96),0)</f>
        <v>0</v>
      </c>
    </row>
    <row r="97" customFormat="false" ht="15" hidden="false" customHeight="false" outlineLevel="0" collapsed="false">
      <c r="A97" s="29" t="n">
        <v>46332</v>
      </c>
      <c r="B97" s="30" t="n">
        <f aca="false">INT((A97-Inputs!$B$5)/7)</f>
        <v>1</v>
      </c>
      <c r="C97" s="30" t="n">
        <f aca="false">YEAR(A97)*100+MONTH(A97)</f>
        <v>202611</v>
      </c>
      <c r="D97" s="20" t="n">
        <f aca="false">IF(AND(A97&gt;=Inputs!$B$33,A97&lt;=Inputs!$B$34),INDEX(Inputs!$B$38:$B$49,11)*30*Inputs!$B$35/7,IF(MONTH(A97)=11,INDEX(Inputs!$B$38:$B$49,11)*30*(1-Inputs!$B$35)/23,INDEX(Inputs!$B$38:$B$49,MONTH(A97))))</f>
        <v>1.64347826086957</v>
      </c>
      <c r="E97" s="30" t="n">
        <f aca="false">IF(MONTH(A97)=1,(YEAR(A97)-1)*100+12,YEAR(A97)*100+MONTH(A97)-1)</f>
        <v>202610</v>
      </c>
      <c r="F97" s="20" t="n">
        <f aca="false">D97/SUMIFS($D$2:$D$176,$B$2:$B$176,B97)</f>
        <v>0.142857142857143</v>
      </c>
      <c r="G97" s="11" t="n">
        <f aca="false">INDEX(Forecast!$B$8:$Z$8,1,(B97)+13)*F97</f>
        <v>29481.2668408866</v>
      </c>
      <c r="H97" s="11" t="n">
        <f aca="false">IF(B97&gt;=0,(INDEX(Forecast!$B$8:$Z$8,1,(B97)+13)*Inputs!$B$20+Inputs!$B$22)/7,IF(C97=202610,(Inputs!$B$21+Inputs!$B$22)/7,0))</f>
        <v>6815.54903466538</v>
      </c>
      <c r="I97" s="11" t="n">
        <f aca="false">IF(DAY(A97)=22,SUMIFS($H$2:$H$176,$C$2:$C$176,E97),0)</f>
        <v>0</v>
      </c>
      <c r="J97" s="11" t="n">
        <f aca="false">IF(DAY(A97)=1,Inputs!$B$24,0)</f>
        <v>0</v>
      </c>
      <c r="K97" s="11" t="n">
        <f aca="false">IF(DAY(A97)=1,Inputs!$B$30*Inputs!$B$31/12,0)</f>
        <v>0</v>
      </c>
      <c r="L97" s="11" t="n">
        <f aca="false">IF(DAY(A97)=20,Inputs!$B$25*SUMIFS($G$2:$G$176,$C$2:$C$176,E97),0)</f>
        <v>0</v>
      </c>
    </row>
    <row r="98" customFormat="false" ht="15" hidden="false" customHeight="false" outlineLevel="0" collapsed="false">
      <c r="A98" s="29" t="n">
        <v>46333</v>
      </c>
      <c r="B98" s="30" t="n">
        <f aca="false">INT((A98-Inputs!$B$5)/7)</f>
        <v>1</v>
      </c>
      <c r="C98" s="30" t="n">
        <f aca="false">YEAR(A98)*100+MONTH(A98)</f>
        <v>202611</v>
      </c>
      <c r="D98" s="20" t="n">
        <f aca="false">IF(AND(A98&gt;=Inputs!$B$33,A98&lt;=Inputs!$B$34),INDEX(Inputs!$B$38:$B$49,11)*30*Inputs!$B$35/7,IF(MONTH(A98)=11,INDEX(Inputs!$B$38:$B$49,11)*30*(1-Inputs!$B$35)/23,INDEX(Inputs!$B$38:$B$49,MONTH(A98))))</f>
        <v>1.64347826086957</v>
      </c>
      <c r="E98" s="30" t="n">
        <f aca="false">IF(MONTH(A98)=1,(YEAR(A98)-1)*100+12,YEAR(A98)*100+MONTH(A98)-1)</f>
        <v>202610</v>
      </c>
      <c r="F98" s="20" t="n">
        <f aca="false">D98/SUMIFS($D$2:$D$176,$B$2:$B$176,B98)</f>
        <v>0.142857142857143</v>
      </c>
      <c r="G98" s="11" t="n">
        <f aca="false">INDEX(Forecast!$B$8:$Z$8,1,(B98)+13)*F98</f>
        <v>29481.2668408866</v>
      </c>
      <c r="H98" s="11" t="n">
        <f aca="false">IF(B98&gt;=0,(INDEX(Forecast!$B$8:$Z$8,1,(B98)+13)*Inputs!$B$20+Inputs!$B$22)/7,IF(C98=202610,(Inputs!$B$21+Inputs!$B$22)/7,0))</f>
        <v>6815.54903466538</v>
      </c>
      <c r="I98" s="11" t="n">
        <f aca="false">IF(DAY(A98)=22,SUMIFS($H$2:$H$176,$C$2:$C$176,E98),0)</f>
        <v>0</v>
      </c>
      <c r="J98" s="11" t="n">
        <f aca="false">IF(DAY(A98)=1,Inputs!$B$24,0)</f>
        <v>0</v>
      </c>
      <c r="K98" s="11" t="n">
        <f aca="false">IF(DAY(A98)=1,Inputs!$B$30*Inputs!$B$31/12,0)</f>
        <v>0</v>
      </c>
      <c r="L98" s="11" t="n">
        <f aca="false">IF(DAY(A98)=20,Inputs!$B$25*SUMIFS($G$2:$G$176,$C$2:$C$176,E98),0)</f>
        <v>0</v>
      </c>
    </row>
    <row r="99" customFormat="false" ht="15" hidden="false" customHeight="false" outlineLevel="0" collapsed="false">
      <c r="A99" s="29" t="n">
        <v>46334</v>
      </c>
      <c r="B99" s="30" t="n">
        <f aca="false">INT((A99-Inputs!$B$5)/7)</f>
        <v>1</v>
      </c>
      <c r="C99" s="30" t="n">
        <f aca="false">YEAR(A99)*100+MONTH(A99)</f>
        <v>202611</v>
      </c>
      <c r="D99" s="20" t="n">
        <f aca="false">IF(AND(A99&gt;=Inputs!$B$33,A99&lt;=Inputs!$B$34),INDEX(Inputs!$B$38:$B$49,11)*30*Inputs!$B$35/7,IF(MONTH(A99)=11,INDEX(Inputs!$B$38:$B$49,11)*30*(1-Inputs!$B$35)/23,INDEX(Inputs!$B$38:$B$49,MONTH(A99))))</f>
        <v>1.64347826086957</v>
      </c>
      <c r="E99" s="30" t="n">
        <f aca="false">IF(MONTH(A99)=1,(YEAR(A99)-1)*100+12,YEAR(A99)*100+MONTH(A99)-1)</f>
        <v>202610</v>
      </c>
      <c r="F99" s="20" t="n">
        <f aca="false">D99/SUMIFS($D$2:$D$176,$B$2:$B$176,B99)</f>
        <v>0.142857142857143</v>
      </c>
      <c r="G99" s="11" t="n">
        <f aca="false">INDEX(Forecast!$B$8:$Z$8,1,(B99)+13)*F99</f>
        <v>29481.2668408866</v>
      </c>
      <c r="H99" s="11" t="n">
        <f aca="false">IF(B99&gt;=0,(INDEX(Forecast!$B$8:$Z$8,1,(B99)+13)*Inputs!$B$20+Inputs!$B$22)/7,IF(C99=202610,(Inputs!$B$21+Inputs!$B$22)/7,0))</f>
        <v>6815.54903466538</v>
      </c>
      <c r="I99" s="11" t="n">
        <f aca="false">IF(DAY(A99)=22,SUMIFS($H$2:$H$176,$C$2:$C$176,E99),0)</f>
        <v>0</v>
      </c>
      <c r="J99" s="11" t="n">
        <f aca="false">IF(DAY(A99)=1,Inputs!$B$24,0)</f>
        <v>0</v>
      </c>
      <c r="K99" s="11" t="n">
        <f aca="false">IF(DAY(A99)=1,Inputs!$B$30*Inputs!$B$31/12,0)</f>
        <v>0</v>
      </c>
      <c r="L99" s="11" t="n">
        <f aca="false">IF(DAY(A99)=20,Inputs!$B$25*SUMIFS($G$2:$G$176,$C$2:$C$176,E99),0)</f>
        <v>0</v>
      </c>
    </row>
    <row r="100" customFormat="false" ht="15" hidden="false" customHeight="false" outlineLevel="0" collapsed="false">
      <c r="A100" s="29" t="n">
        <v>46335</v>
      </c>
      <c r="B100" s="30" t="n">
        <f aca="false">INT((A100-Inputs!$B$5)/7)</f>
        <v>2</v>
      </c>
      <c r="C100" s="30" t="n">
        <f aca="false">YEAR(A100)*100+MONTH(A100)</f>
        <v>202611</v>
      </c>
      <c r="D100" s="20" t="n">
        <f aca="false">IF(AND(A100&gt;=Inputs!$B$33,A100&lt;=Inputs!$B$34),INDEX(Inputs!$B$38:$B$49,11)*30*Inputs!$B$35/7,IF(MONTH(A100)=11,INDEX(Inputs!$B$38:$B$49,11)*30*(1-Inputs!$B$35)/23,INDEX(Inputs!$B$38:$B$49,MONTH(A100))))</f>
        <v>1.64347826086957</v>
      </c>
      <c r="E100" s="30" t="n">
        <f aca="false">IF(MONTH(A100)=1,(YEAR(A100)-1)*100+12,YEAR(A100)*100+MONTH(A100)-1)</f>
        <v>202610</v>
      </c>
      <c r="F100" s="20" t="n">
        <f aca="false">D100/SUMIFS($D$2:$D$176,$B$2:$B$176,B100)</f>
        <v>0.142857142857143</v>
      </c>
      <c r="G100" s="11" t="n">
        <f aca="false">INDEX(Forecast!$B$8:$Z$8,1,(B100)+13)*F100</f>
        <v>29481.2668408866</v>
      </c>
      <c r="H100" s="11" t="n">
        <f aca="false">IF(B100&gt;=0,(INDEX(Forecast!$B$8:$Z$8,1,(B100)+13)*Inputs!$B$20+Inputs!$B$22)/7,IF(C100=202610,(Inputs!$B$21+Inputs!$B$22)/7,0))</f>
        <v>6815.54903466538</v>
      </c>
      <c r="I100" s="11" t="n">
        <f aca="false">IF(DAY(A100)=22,SUMIFS($H$2:$H$176,$C$2:$C$176,E100),0)</f>
        <v>0</v>
      </c>
      <c r="J100" s="11" t="n">
        <f aca="false">IF(DAY(A100)=1,Inputs!$B$24,0)</f>
        <v>0</v>
      </c>
      <c r="K100" s="11" t="n">
        <f aca="false">IF(DAY(A100)=1,Inputs!$B$30*Inputs!$B$31/12,0)</f>
        <v>0</v>
      </c>
      <c r="L100" s="11" t="n">
        <f aca="false">IF(DAY(A100)=20,Inputs!$B$25*SUMIFS($G$2:$G$176,$C$2:$C$176,E100),0)</f>
        <v>0</v>
      </c>
    </row>
    <row r="101" customFormat="false" ht="15" hidden="false" customHeight="false" outlineLevel="0" collapsed="false">
      <c r="A101" s="29" t="n">
        <v>46336</v>
      </c>
      <c r="B101" s="30" t="n">
        <f aca="false">INT((A101-Inputs!$B$5)/7)</f>
        <v>2</v>
      </c>
      <c r="C101" s="30" t="n">
        <f aca="false">YEAR(A101)*100+MONTH(A101)</f>
        <v>202611</v>
      </c>
      <c r="D101" s="20" t="n">
        <f aca="false">IF(AND(A101&gt;=Inputs!$B$33,A101&lt;=Inputs!$B$34),INDEX(Inputs!$B$38:$B$49,11)*30*Inputs!$B$35/7,IF(MONTH(A101)=11,INDEX(Inputs!$B$38:$B$49,11)*30*(1-Inputs!$B$35)/23,INDEX(Inputs!$B$38:$B$49,MONTH(A101))))</f>
        <v>1.64347826086957</v>
      </c>
      <c r="E101" s="30" t="n">
        <f aca="false">IF(MONTH(A101)=1,(YEAR(A101)-1)*100+12,YEAR(A101)*100+MONTH(A101)-1)</f>
        <v>202610</v>
      </c>
      <c r="F101" s="20" t="n">
        <f aca="false">D101/SUMIFS($D$2:$D$176,$B$2:$B$176,B101)</f>
        <v>0.142857142857143</v>
      </c>
      <c r="G101" s="11" t="n">
        <f aca="false">INDEX(Forecast!$B$8:$Z$8,1,(B101)+13)*F101</f>
        <v>29481.2668408866</v>
      </c>
      <c r="H101" s="11" t="n">
        <f aca="false">IF(B101&gt;=0,(INDEX(Forecast!$B$8:$Z$8,1,(B101)+13)*Inputs!$B$20+Inputs!$B$22)/7,IF(C101=202610,(Inputs!$B$21+Inputs!$B$22)/7,0))</f>
        <v>6815.54903466538</v>
      </c>
      <c r="I101" s="11" t="n">
        <f aca="false">IF(DAY(A101)=22,SUMIFS($H$2:$H$176,$C$2:$C$176,E101),0)</f>
        <v>0</v>
      </c>
      <c r="J101" s="11" t="n">
        <f aca="false">IF(DAY(A101)=1,Inputs!$B$24,0)</f>
        <v>0</v>
      </c>
      <c r="K101" s="11" t="n">
        <f aca="false">IF(DAY(A101)=1,Inputs!$B$30*Inputs!$B$31/12,0)</f>
        <v>0</v>
      </c>
      <c r="L101" s="11" t="n">
        <f aca="false">IF(DAY(A101)=20,Inputs!$B$25*SUMIFS($G$2:$G$176,$C$2:$C$176,E101),0)</f>
        <v>0</v>
      </c>
    </row>
    <row r="102" customFormat="false" ht="15" hidden="false" customHeight="false" outlineLevel="0" collapsed="false">
      <c r="A102" s="29" t="n">
        <v>46337</v>
      </c>
      <c r="B102" s="30" t="n">
        <f aca="false">INT((A102-Inputs!$B$5)/7)</f>
        <v>2</v>
      </c>
      <c r="C102" s="30" t="n">
        <f aca="false">YEAR(A102)*100+MONTH(A102)</f>
        <v>202611</v>
      </c>
      <c r="D102" s="20" t="n">
        <f aca="false">IF(AND(A102&gt;=Inputs!$B$33,A102&lt;=Inputs!$B$34),INDEX(Inputs!$B$38:$B$49,11)*30*Inputs!$B$35/7,IF(MONTH(A102)=11,INDEX(Inputs!$B$38:$B$49,11)*30*(1-Inputs!$B$35)/23,INDEX(Inputs!$B$38:$B$49,MONTH(A102))))</f>
        <v>1.64347826086957</v>
      </c>
      <c r="E102" s="30" t="n">
        <f aca="false">IF(MONTH(A102)=1,(YEAR(A102)-1)*100+12,YEAR(A102)*100+MONTH(A102)-1)</f>
        <v>202610</v>
      </c>
      <c r="F102" s="20" t="n">
        <f aca="false">D102/SUMIFS($D$2:$D$176,$B$2:$B$176,B102)</f>
        <v>0.142857142857143</v>
      </c>
      <c r="G102" s="11" t="n">
        <f aca="false">INDEX(Forecast!$B$8:$Z$8,1,(B102)+13)*F102</f>
        <v>29481.2668408866</v>
      </c>
      <c r="H102" s="11" t="n">
        <f aca="false">IF(B102&gt;=0,(INDEX(Forecast!$B$8:$Z$8,1,(B102)+13)*Inputs!$B$20+Inputs!$B$22)/7,IF(C102=202610,(Inputs!$B$21+Inputs!$B$22)/7,0))</f>
        <v>6815.54903466538</v>
      </c>
      <c r="I102" s="11" t="n">
        <f aca="false">IF(DAY(A102)=22,SUMIFS($H$2:$H$176,$C$2:$C$176,E102),0)</f>
        <v>0</v>
      </c>
      <c r="J102" s="11" t="n">
        <f aca="false">IF(DAY(A102)=1,Inputs!$B$24,0)</f>
        <v>0</v>
      </c>
      <c r="K102" s="11" t="n">
        <f aca="false">IF(DAY(A102)=1,Inputs!$B$30*Inputs!$B$31/12,0)</f>
        <v>0</v>
      </c>
      <c r="L102" s="11" t="n">
        <f aca="false">IF(DAY(A102)=20,Inputs!$B$25*SUMIFS($G$2:$G$176,$C$2:$C$176,E102),0)</f>
        <v>0</v>
      </c>
    </row>
    <row r="103" customFormat="false" ht="15" hidden="false" customHeight="false" outlineLevel="0" collapsed="false">
      <c r="A103" s="29" t="n">
        <v>46338</v>
      </c>
      <c r="B103" s="30" t="n">
        <f aca="false">INT((A103-Inputs!$B$5)/7)</f>
        <v>2</v>
      </c>
      <c r="C103" s="30" t="n">
        <f aca="false">YEAR(A103)*100+MONTH(A103)</f>
        <v>202611</v>
      </c>
      <c r="D103" s="20" t="n">
        <f aca="false">IF(AND(A103&gt;=Inputs!$B$33,A103&lt;=Inputs!$B$34),INDEX(Inputs!$B$38:$B$49,11)*30*Inputs!$B$35/7,IF(MONTH(A103)=11,INDEX(Inputs!$B$38:$B$49,11)*30*(1-Inputs!$B$35)/23,INDEX(Inputs!$B$38:$B$49,MONTH(A103))))</f>
        <v>1.64347826086957</v>
      </c>
      <c r="E103" s="30" t="n">
        <f aca="false">IF(MONTH(A103)=1,(YEAR(A103)-1)*100+12,YEAR(A103)*100+MONTH(A103)-1)</f>
        <v>202610</v>
      </c>
      <c r="F103" s="20" t="n">
        <f aca="false">D103/SUMIFS($D$2:$D$176,$B$2:$B$176,B103)</f>
        <v>0.142857142857143</v>
      </c>
      <c r="G103" s="11" t="n">
        <f aca="false">INDEX(Forecast!$B$8:$Z$8,1,(B103)+13)*F103</f>
        <v>29481.2668408866</v>
      </c>
      <c r="H103" s="11" t="n">
        <f aca="false">IF(B103&gt;=0,(INDEX(Forecast!$B$8:$Z$8,1,(B103)+13)*Inputs!$B$20+Inputs!$B$22)/7,IF(C103=202610,(Inputs!$B$21+Inputs!$B$22)/7,0))</f>
        <v>6815.54903466538</v>
      </c>
      <c r="I103" s="11" t="n">
        <f aca="false">IF(DAY(A103)=22,SUMIFS($H$2:$H$176,$C$2:$C$176,E103),0)</f>
        <v>0</v>
      </c>
      <c r="J103" s="11" t="n">
        <f aca="false">IF(DAY(A103)=1,Inputs!$B$24,0)</f>
        <v>0</v>
      </c>
      <c r="K103" s="11" t="n">
        <f aca="false">IF(DAY(A103)=1,Inputs!$B$30*Inputs!$B$31/12,0)</f>
        <v>0</v>
      </c>
      <c r="L103" s="11" t="n">
        <f aca="false">IF(DAY(A103)=20,Inputs!$B$25*SUMIFS($G$2:$G$176,$C$2:$C$176,E103),0)</f>
        <v>0</v>
      </c>
    </row>
    <row r="104" customFormat="false" ht="15" hidden="false" customHeight="false" outlineLevel="0" collapsed="false">
      <c r="A104" s="29" t="n">
        <v>46339</v>
      </c>
      <c r="B104" s="30" t="n">
        <f aca="false">INT((A104-Inputs!$B$5)/7)</f>
        <v>2</v>
      </c>
      <c r="C104" s="30" t="n">
        <f aca="false">YEAR(A104)*100+MONTH(A104)</f>
        <v>202611</v>
      </c>
      <c r="D104" s="20" t="n">
        <f aca="false">IF(AND(A104&gt;=Inputs!$B$33,A104&lt;=Inputs!$B$34),INDEX(Inputs!$B$38:$B$49,11)*30*Inputs!$B$35/7,IF(MONTH(A104)=11,INDEX(Inputs!$B$38:$B$49,11)*30*(1-Inputs!$B$35)/23,INDEX(Inputs!$B$38:$B$49,MONTH(A104))))</f>
        <v>1.64347826086957</v>
      </c>
      <c r="E104" s="30" t="n">
        <f aca="false">IF(MONTH(A104)=1,(YEAR(A104)-1)*100+12,YEAR(A104)*100+MONTH(A104)-1)</f>
        <v>202610</v>
      </c>
      <c r="F104" s="20" t="n">
        <f aca="false">D104/SUMIFS($D$2:$D$176,$B$2:$B$176,B104)</f>
        <v>0.142857142857143</v>
      </c>
      <c r="G104" s="11" t="n">
        <f aca="false">INDEX(Forecast!$B$8:$Z$8,1,(B104)+13)*F104</f>
        <v>29481.2668408866</v>
      </c>
      <c r="H104" s="11" t="n">
        <f aca="false">IF(B104&gt;=0,(INDEX(Forecast!$B$8:$Z$8,1,(B104)+13)*Inputs!$B$20+Inputs!$B$22)/7,IF(C104=202610,(Inputs!$B$21+Inputs!$B$22)/7,0))</f>
        <v>6815.54903466538</v>
      </c>
      <c r="I104" s="11" t="n">
        <f aca="false">IF(DAY(A104)=22,SUMIFS($H$2:$H$176,$C$2:$C$176,E104),0)</f>
        <v>0</v>
      </c>
      <c r="J104" s="11" t="n">
        <f aca="false">IF(DAY(A104)=1,Inputs!$B$24,0)</f>
        <v>0</v>
      </c>
      <c r="K104" s="11" t="n">
        <f aca="false">IF(DAY(A104)=1,Inputs!$B$30*Inputs!$B$31/12,0)</f>
        <v>0</v>
      </c>
      <c r="L104" s="11" t="n">
        <f aca="false">IF(DAY(A104)=20,Inputs!$B$25*SUMIFS($G$2:$G$176,$C$2:$C$176,E104),0)</f>
        <v>0</v>
      </c>
    </row>
    <row r="105" customFormat="false" ht="15" hidden="false" customHeight="false" outlineLevel="0" collapsed="false">
      <c r="A105" s="29" t="n">
        <v>46340</v>
      </c>
      <c r="B105" s="30" t="n">
        <f aca="false">INT((A105-Inputs!$B$5)/7)</f>
        <v>2</v>
      </c>
      <c r="C105" s="30" t="n">
        <f aca="false">YEAR(A105)*100+MONTH(A105)</f>
        <v>202611</v>
      </c>
      <c r="D105" s="20" t="n">
        <f aca="false">IF(AND(A105&gt;=Inputs!$B$33,A105&lt;=Inputs!$B$34),INDEX(Inputs!$B$38:$B$49,11)*30*Inputs!$B$35/7,IF(MONTH(A105)=11,INDEX(Inputs!$B$38:$B$49,11)*30*(1-Inputs!$B$35)/23,INDEX(Inputs!$B$38:$B$49,MONTH(A105))))</f>
        <v>1.64347826086957</v>
      </c>
      <c r="E105" s="30" t="n">
        <f aca="false">IF(MONTH(A105)=1,(YEAR(A105)-1)*100+12,YEAR(A105)*100+MONTH(A105)-1)</f>
        <v>202610</v>
      </c>
      <c r="F105" s="20" t="n">
        <f aca="false">D105/SUMIFS($D$2:$D$176,$B$2:$B$176,B105)</f>
        <v>0.142857142857143</v>
      </c>
      <c r="G105" s="11" t="n">
        <f aca="false">INDEX(Forecast!$B$8:$Z$8,1,(B105)+13)*F105</f>
        <v>29481.2668408866</v>
      </c>
      <c r="H105" s="11" t="n">
        <f aca="false">IF(B105&gt;=0,(INDEX(Forecast!$B$8:$Z$8,1,(B105)+13)*Inputs!$B$20+Inputs!$B$22)/7,IF(C105=202610,(Inputs!$B$21+Inputs!$B$22)/7,0))</f>
        <v>6815.54903466538</v>
      </c>
      <c r="I105" s="11" t="n">
        <f aca="false">IF(DAY(A105)=22,SUMIFS($H$2:$H$176,$C$2:$C$176,E105),0)</f>
        <v>0</v>
      </c>
      <c r="J105" s="11" t="n">
        <f aca="false">IF(DAY(A105)=1,Inputs!$B$24,0)</f>
        <v>0</v>
      </c>
      <c r="K105" s="11" t="n">
        <f aca="false">IF(DAY(A105)=1,Inputs!$B$30*Inputs!$B$31/12,0)</f>
        <v>0</v>
      </c>
      <c r="L105" s="11" t="n">
        <f aca="false">IF(DAY(A105)=20,Inputs!$B$25*SUMIFS($G$2:$G$176,$C$2:$C$176,E105),0)</f>
        <v>0</v>
      </c>
    </row>
    <row r="106" customFormat="false" ht="15" hidden="false" customHeight="false" outlineLevel="0" collapsed="false">
      <c r="A106" s="29" t="n">
        <v>46341</v>
      </c>
      <c r="B106" s="30" t="n">
        <f aca="false">INT((A106-Inputs!$B$5)/7)</f>
        <v>2</v>
      </c>
      <c r="C106" s="30" t="n">
        <f aca="false">YEAR(A106)*100+MONTH(A106)</f>
        <v>202611</v>
      </c>
      <c r="D106" s="20" t="n">
        <f aca="false">IF(AND(A106&gt;=Inputs!$B$33,A106&lt;=Inputs!$B$34),INDEX(Inputs!$B$38:$B$49,11)*30*Inputs!$B$35/7,IF(MONTH(A106)=11,INDEX(Inputs!$B$38:$B$49,11)*30*(1-Inputs!$B$35)/23,INDEX(Inputs!$B$38:$B$49,MONTH(A106))))</f>
        <v>1.64347826086957</v>
      </c>
      <c r="E106" s="30" t="n">
        <f aca="false">IF(MONTH(A106)=1,(YEAR(A106)-1)*100+12,YEAR(A106)*100+MONTH(A106)-1)</f>
        <v>202610</v>
      </c>
      <c r="F106" s="20" t="n">
        <f aca="false">D106/SUMIFS($D$2:$D$176,$B$2:$B$176,B106)</f>
        <v>0.142857142857143</v>
      </c>
      <c r="G106" s="11" t="n">
        <f aca="false">INDEX(Forecast!$B$8:$Z$8,1,(B106)+13)*F106</f>
        <v>29481.2668408866</v>
      </c>
      <c r="H106" s="11" t="n">
        <f aca="false">IF(B106&gt;=0,(INDEX(Forecast!$B$8:$Z$8,1,(B106)+13)*Inputs!$B$20+Inputs!$B$22)/7,IF(C106=202610,(Inputs!$B$21+Inputs!$B$22)/7,0))</f>
        <v>6815.54903466538</v>
      </c>
      <c r="I106" s="11" t="n">
        <f aca="false">IF(DAY(A106)=22,SUMIFS($H$2:$H$176,$C$2:$C$176,E106),0)</f>
        <v>0</v>
      </c>
      <c r="J106" s="11" t="n">
        <f aca="false">IF(DAY(A106)=1,Inputs!$B$24,0)</f>
        <v>0</v>
      </c>
      <c r="K106" s="11" t="n">
        <f aca="false">IF(DAY(A106)=1,Inputs!$B$30*Inputs!$B$31/12,0)</f>
        <v>0</v>
      </c>
      <c r="L106" s="11" t="n">
        <f aca="false">IF(DAY(A106)=20,Inputs!$B$25*SUMIFS($G$2:$G$176,$C$2:$C$176,E106),0)</f>
        <v>0</v>
      </c>
    </row>
    <row r="107" customFormat="false" ht="15" hidden="false" customHeight="false" outlineLevel="0" collapsed="false">
      <c r="A107" s="29" t="n">
        <v>46342</v>
      </c>
      <c r="B107" s="30" t="n">
        <f aca="false">INT((A107-Inputs!$B$5)/7)</f>
        <v>3</v>
      </c>
      <c r="C107" s="30" t="n">
        <f aca="false">YEAR(A107)*100+MONTH(A107)</f>
        <v>202611</v>
      </c>
      <c r="D107" s="20" t="n">
        <f aca="false">IF(AND(A107&gt;=Inputs!$B$33,A107&lt;=Inputs!$B$34),INDEX(Inputs!$B$38:$B$49,11)*30*Inputs!$B$35/7,IF(MONTH(A107)=11,INDEX(Inputs!$B$38:$B$49,11)*30*(1-Inputs!$B$35)/23,INDEX(Inputs!$B$38:$B$49,MONTH(A107))))</f>
        <v>1.64347826086957</v>
      </c>
      <c r="E107" s="30" t="n">
        <f aca="false">IF(MONTH(A107)=1,(YEAR(A107)-1)*100+12,YEAR(A107)*100+MONTH(A107)-1)</f>
        <v>202610</v>
      </c>
      <c r="F107" s="20" t="n">
        <f aca="false">D107/SUMIFS($D$2:$D$176,$B$2:$B$176,B107)</f>
        <v>0.142857142857143</v>
      </c>
      <c r="G107" s="11" t="n">
        <f aca="false">INDEX(Forecast!$B$8:$Z$8,1,(B107)+13)*F107</f>
        <v>29481.2668408866</v>
      </c>
      <c r="H107" s="11" t="n">
        <f aca="false">IF(B107&gt;=0,(INDEX(Forecast!$B$8:$Z$8,1,(B107)+13)*Inputs!$B$20+Inputs!$B$22)/7,IF(C107=202610,(Inputs!$B$21+Inputs!$B$22)/7,0))</f>
        <v>6815.54903466538</v>
      </c>
      <c r="I107" s="11" t="n">
        <f aca="false">IF(DAY(A107)=22,SUMIFS($H$2:$H$176,$C$2:$C$176,E107),0)</f>
        <v>0</v>
      </c>
      <c r="J107" s="11" t="n">
        <f aca="false">IF(DAY(A107)=1,Inputs!$B$24,0)</f>
        <v>0</v>
      </c>
      <c r="K107" s="11" t="n">
        <f aca="false">IF(DAY(A107)=1,Inputs!$B$30*Inputs!$B$31/12,0)</f>
        <v>0</v>
      </c>
      <c r="L107" s="11" t="n">
        <f aca="false">IF(DAY(A107)=20,Inputs!$B$25*SUMIFS($G$2:$G$176,$C$2:$C$176,E107),0)</f>
        <v>0</v>
      </c>
    </row>
    <row r="108" customFormat="false" ht="15" hidden="false" customHeight="false" outlineLevel="0" collapsed="false">
      <c r="A108" s="29" t="n">
        <v>46343</v>
      </c>
      <c r="B108" s="30" t="n">
        <f aca="false">INT((A108-Inputs!$B$5)/7)</f>
        <v>3</v>
      </c>
      <c r="C108" s="30" t="n">
        <f aca="false">YEAR(A108)*100+MONTH(A108)</f>
        <v>202611</v>
      </c>
      <c r="D108" s="20" t="n">
        <f aca="false">IF(AND(A108&gt;=Inputs!$B$33,A108&lt;=Inputs!$B$34),INDEX(Inputs!$B$38:$B$49,11)*30*Inputs!$B$35/7,IF(MONTH(A108)=11,INDEX(Inputs!$B$38:$B$49,11)*30*(1-Inputs!$B$35)/23,INDEX(Inputs!$B$38:$B$49,MONTH(A108))))</f>
        <v>1.64347826086957</v>
      </c>
      <c r="E108" s="30" t="n">
        <f aca="false">IF(MONTH(A108)=1,(YEAR(A108)-1)*100+12,YEAR(A108)*100+MONTH(A108)-1)</f>
        <v>202610</v>
      </c>
      <c r="F108" s="20" t="n">
        <f aca="false">D108/SUMIFS($D$2:$D$176,$B$2:$B$176,B108)</f>
        <v>0.142857142857143</v>
      </c>
      <c r="G108" s="11" t="n">
        <f aca="false">INDEX(Forecast!$B$8:$Z$8,1,(B108)+13)*F108</f>
        <v>29481.2668408866</v>
      </c>
      <c r="H108" s="11" t="n">
        <f aca="false">IF(B108&gt;=0,(INDEX(Forecast!$B$8:$Z$8,1,(B108)+13)*Inputs!$B$20+Inputs!$B$22)/7,IF(C108=202610,(Inputs!$B$21+Inputs!$B$22)/7,0))</f>
        <v>6815.54903466538</v>
      </c>
      <c r="I108" s="11" t="n">
        <f aca="false">IF(DAY(A108)=22,SUMIFS($H$2:$H$176,$C$2:$C$176,E108),0)</f>
        <v>0</v>
      </c>
      <c r="J108" s="11" t="n">
        <f aca="false">IF(DAY(A108)=1,Inputs!$B$24,0)</f>
        <v>0</v>
      </c>
      <c r="K108" s="11" t="n">
        <f aca="false">IF(DAY(A108)=1,Inputs!$B$30*Inputs!$B$31/12,0)</f>
        <v>0</v>
      </c>
      <c r="L108" s="11" t="n">
        <f aca="false">IF(DAY(A108)=20,Inputs!$B$25*SUMIFS($G$2:$G$176,$C$2:$C$176,E108),0)</f>
        <v>0</v>
      </c>
    </row>
    <row r="109" customFormat="false" ht="15" hidden="false" customHeight="false" outlineLevel="0" collapsed="false">
      <c r="A109" s="29" t="n">
        <v>46344</v>
      </c>
      <c r="B109" s="30" t="n">
        <f aca="false">INT((A109-Inputs!$B$5)/7)</f>
        <v>3</v>
      </c>
      <c r="C109" s="30" t="n">
        <f aca="false">YEAR(A109)*100+MONTH(A109)</f>
        <v>202611</v>
      </c>
      <c r="D109" s="20" t="n">
        <f aca="false">IF(AND(A109&gt;=Inputs!$B$33,A109&lt;=Inputs!$B$34),INDEX(Inputs!$B$38:$B$49,11)*30*Inputs!$B$35/7,IF(MONTH(A109)=11,INDEX(Inputs!$B$38:$B$49,11)*30*(1-Inputs!$B$35)/23,INDEX(Inputs!$B$38:$B$49,MONTH(A109))))</f>
        <v>1.64347826086957</v>
      </c>
      <c r="E109" s="30" t="n">
        <f aca="false">IF(MONTH(A109)=1,(YEAR(A109)-1)*100+12,YEAR(A109)*100+MONTH(A109)-1)</f>
        <v>202610</v>
      </c>
      <c r="F109" s="20" t="n">
        <f aca="false">D109/SUMIFS($D$2:$D$176,$B$2:$B$176,B109)</f>
        <v>0.142857142857143</v>
      </c>
      <c r="G109" s="11" t="n">
        <f aca="false">INDEX(Forecast!$B$8:$Z$8,1,(B109)+13)*F109</f>
        <v>29481.2668408866</v>
      </c>
      <c r="H109" s="11" t="n">
        <f aca="false">IF(B109&gt;=0,(INDEX(Forecast!$B$8:$Z$8,1,(B109)+13)*Inputs!$B$20+Inputs!$B$22)/7,IF(C109=202610,(Inputs!$B$21+Inputs!$B$22)/7,0))</f>
        <v>6815.54903466538</v>
      </c>
      <c r="I109" s="11" t="n">
        <f aca="false">IF(DAY(A109)=22,SUMIFS($H$2:$H$176,$C$2:$C$176,E109),0)</f>
        <v>0</v>
      </c>
      <c r="J109" s="11" t="n">
        <f aca="false">IF(DAY(A109)=1,Inputs!$B$24,0)</f>
        <v>0</v>
      </c>
      <c r="K109" s="11" t="n">
        <f aca="false">IF(DAY(A109)=1,Inputs!$B$30*Inputs!$B$31/12,0)</f>
        <v>0</v>
      </c>
      <c r="L109" s="11" t="n">
        <f aca="false">IF(DAY(A109)=20,Inputs!$B$25*SUMIFS($G$2:$G$176,$C$2:$C$176,E109),0)</f>
        <v>0</v>
      </c>
    </row>
    <row r="110" customFormat="false" ht="15" hidden="false" customHeight="false" outlineLevel="0" collapsed="false">
      <c r="A110" s="29" t="n">
        <v>46345</v>
      </c>
      <c r="B110" s="30" t="n">
        <f aca="false">INT((A110-Inputs!$B$5)/7)</f>
        <v>3</v>
      </c>
      <c r="C110" s="30" t="n">
        <f aca="false">YEAR(A110)*100+MONTH(A110)</f>
        <v>202611</v>
      </c>
      <c r="D110" s="20" t="n">
        <f aca="false">IF(AND(A110&gt;=Inputs!$B$33,A110&lt;=Inputs!$B$34),INDEX(Inputs!$B$38:$B$49,11)*30*Inputs!$B$35/7,IF(MONTH(A110)=11,INDEX(Inputs!$B$38:$B$49,11)*30*(1-Inputs!$B$35)/23,INDEX(Inputs!$B$38:$B$49,MONTH(A110))))</f>
        <v>1.64347826086957</v>
      </c>
      <c r="E110" s="30" t="n">
        <f aca="false">IF(MONTH(A110)=1,(YEAR(A110)-1)*100+12,YEAR(A110)*100+MONTH(A110)-1)</f>
        <v>202610</v>
      </c>
      <c r="F110" s="20" t="n">
        <f aca="false">D110/SUMIFS($D$2:$D$176,$B$2:$B$176,B110)</f>
        <v>0.142857142857143</v>
      </c>
      <c r="G110" s="11" t="n">
        <f aca="false">INDEX(Forecast!$B$8:$Z$8,1,(B110)+13)*F110</f>
        <v>29481.2668408866</v>
      </c>
      <c r="H110" s="11" t="n">
        <f aca="false">IF(B110&gt;=0,(INDEX(Forecast!$B$8:$Z$8,1,(B110)+13)*Inputs!$B$20+Inputs!$B$22)/7,IF(C110=202610,(Inputs!$B$21+Inputs!$B$22)/7,0))</f>
        <v>6815.54903466538</v>
      </c>
      <c r="I110" s="11" t="n">
        <f aca="false">IF(DAY(A110)=22,SUMIFS($H$2:$H$176,$C$2:$C$176,E110),0)</f>
        <v>0</v>
      </c>
      <c r="J110" s="11" t="n">
        <f aca="false">IF(DAY(A110)=1,Inputs!$B$24,0)</f>
        <v>0</v>
      </c>
      <c r="K110" s="11" t="n">
        <f aca="false">IF(DAY(A110)=1,Inputs!$B$30*Inputs!$B$31/12,0)</f>
        <v>0</v>
      </c>
      <c r="L110" s="11" t="n">
        <f aca="false">IF(DAY(A110)=20,Inputs!$B$25*SUMIFS($G$2:$G$176,$C$2:$C$176,E110),0)</f>
        <v>0</v>
      </c>
    </row>
    <row r="111" customFormat="false" ht="15" hidden="false" customHeight="false" outlineLevel="0" collapsed="false">
      <c r="A111" s="29" t="n">
        <v>46346</v>
      </c>
      <c r="B111" s="30" t="n">
        <f aca="false">INT((A111-Inputs!$B$5)/7)</f>
        <v>3</v>
      </c>
      <c r="C111" s="30" t="n">
        <f aca="false">YEAR(A111)*100+MONTH(A111)</f>
        <v>202611</v>
      </c>
      <c r="D111" s="20" t="n">
        <f aca="false">IF(AND(A111&gt;=Inputs!$B$33,A111&lt;=Inputs!$B$34),INDEX(Inputs!$B$38:$B$49,11)*30*Inputs!$B$35/7,IF(MONTH(A111)=11,INDEX(Inputs!$B$38:$B$49,11)*30*(1-Inputs!$B$35)/23,INDEX(Inputs!$B$38:$B$49,MONTH(A111))))</f>
        <v>1.64347826086957</v>
      </c>
      <c r="E111" s="30" t="n">
        <f aca="false">IF(MONTH(A111)=1,(YEAR(A111)-1)*100+12,YEAR(A111)*100+MONTH(A111)-1)</f>
        <v>202610</v>
      </c>
      <c r="F111" s="20" t="n">
        <f aca="false">D111/SUMIFS($D$2:$D$176,$B$2:$B$176,B111)</f>
        <v>0.142857142857143</v>
      </c>
      <c r="G111" s="11" t="n">
        <f aca="false">INDEX(Forecast!$B$8:$Z$8,1,(B111)+13)*F111</f>
        <v>29481.2668408866</v>
      </c>
      <c r="H111" s="11" t="n">
        <f aca="false">IF(B111&gt;=0,(INDEX(Forecast!$B$8:$Z$8,1,(B111)+13)*Inputs!$B$20+Inputs!$B$22)/7,IF(C111=202610,(Inputs!$B$21+Inputs!$B$22)/7,0))</f>
        <v>6815.54903466538</v>
      </c>
      <c r="I111" s="11" t="n">
        <f aca="false">IF(DAY(A111)=22,SUMIFS($H$2:$H$176,$C$2:$C$176,E111),0)</f>
        <v>0</v>
      </c>
      <c r="J111" s="11" t="n">
        <f aca="false">IF(DAY(A111)=1,Inputs!$B$24,0)</f>
        <v>0</v>
      </c>
      <c r="K111" s="11" t="n">
        <f aca="false">IF(DAY(A111)=1,Inputs!$B$30*Inputs!$B$31/12,0)</f>
        <v>0</v>
      </c>
      <c r="L111" s="11" t="n">
        <f aca="false">IF(DAY(A111)=20,Inputs!$B$25*SUMIFS($G$2:$G$176,$C$2:$C$176,E111),0)</f>
        <v>22243.5378386795</v>
      </c>
    </row>
    <row r="112" customFormat="false" ht="15" hidden="false" customHeight="false" outlineLevel="0" collapsed="false">
      <c r="A112" s="29" t="n">
        <v>46347</v>
      </c>
      <c r="B112" s="30" t="n">
        <f aca="false">INT((A112-Inputs!$B$5)/7)</f>
        <v>3</v>
      </c>
      <c r="C112" s="30" t="n">
        <f aca="false">YEAR(A112)*100+MONTH(A112)</f>
        <v>202611</v>
      </c>
      <c r="D112" s="20" t="n">
        <f aca="false">IF(AND(A112&gt;=Inputs!$B$33,A112&lt;=Inputs!$B$34),INDEX(Inputs!$B$38:$B$49,11)*30*Inputs!$B$35/7,IF(MONTH(A112)=11,INDEX(Inputs!$B$38:$B$49,11)*30*(1-Inputs!$B$35)/23,INDEX(Inputs!$B$38:$B$49,MONTH(A112))))</f>
        <v>1.64347826086957</v>
      </c>
      <c r="E112" s="30" t="n">
        <f aca="false">IF(MONTH(A112)=1,(YEAR(A112)-1)*100+12,YEAR(A112)*100+MONTH(A112)-1)</f>
        <v>202610</v>
      </c>
      <c r="F112" s="20" t="n">
        <f aca="false">D112/SUMIFS($D$2:$D$176,$B$2:$B$176,B112)</f>
        <v>0.142857142857143</v>
      </c>
      <c r="G112" s="11" t="n">
        <f aca="false">INDEX(Forecast!$B$8:$Z$8,1,(B112)+13)*F112</f>
        <v>29481.2668408866</v>
      </c>
      <c r="H112" s="11" t="n">
        <f aca="false">IF(B112&gt;=0,(INDEX(Forecast!$B$8:$Z$8,1,(B112)+13)*Inputs!$B$20+Inputs!$B$22)/7,IF(C112=202610,(Inputs!$B$21+Inputs!$B$22)/7,0))</f>
        <v>6815.54903466538</v>
      </c>
      <c r="I112" s="11" t="n">
        <f aca="false">IF(DAY(A112)=22,SUMIFS($H$2:$H$176,$C$2:$C$176,E112),0)</f>
        <v>0</v>
      </c>
      <c r="J112" s="11" t="n">
        <f aca="false">IF(DAY(A112)=1,Inputs!$B$24,0)</f>
        <v>0</v>
      </c>
      <c r="K112" s="11" t="n">
        <f aca="false">IF(DAY(A112)=1,Inputs!$B$30*Inputs!$B$31/12,0)</f>
        <v>0</v>
      </c>
      <c r="L112" s="11" t="n">
        <f aca="false">IF(DAY(A112)=20,Inputs!$B$25*SUMIFS($G$2:$G$176,$C$2:$C$176,E112),0)</f>
        <v>0</v>
      </c>
    </row>
    <row r="113" customFormat="false" ht="15" hidden="false" customHeight="false" outlineLevel="0" collapsed="false">
      <c r="A113" s="29" t="n">
        <v>46348</v>
      </c>
      <c r="B113" s="30" t="n">
        <f aca="false">INT((A113-Inputs!$B$5)/7)</f>
        <v>3</v>
      </c>
      <c r="C113" s="30" t="n">
        <f aca="false">YEAR(A113)*100+MONTH(A113)</f>
        <v>202611</v>
      </c>
      <c r="D113" s="20" t="n">
        <f aca="false">IF(AND(A113&gt;=Inputs!$B$33,A113&lt;=Inputs!$B$34),INDEX(Inputs!$B$38:$B$49,11)*30*Inputs!$B$35/7,IF(MONTH(A113)=11,INDEX(Inputs!$B$38:$B$49,11)*30*(1-Inputs!$B$35)/23,INDEX(Inputs!$B$38:$B$49,MONTH(A113))))</f>
        <v>1.64347826086957</v>
      </c>
      <c r="E113" s="30" t="n">
        <f aca="false">IF(MONTH(A113)=1,(YEAR(A113)-1)*100+12,YEAR(A113)*100+MONTH(A113)-1)</f>
        <v>202610</v>
      </c>
      <c r="F113" s="20" t="n">
        <f aca="false">D113/SUMIFS($D$2:$D$176,$B$2:$B$176,B113)</f>
        <v>0.142857142857143</v>
      </c>
      <c r="G113" s="11" t="n">
        <f aca="false">INDEX(Forecast!$B$8:$Z$8,1,(B113)+13)*F113</f>
        <v>29481.2668408866</v>
      </c>
      <c r="H113" s="11" t="n">
        <f aca="false">IF(B113&gt;=0,(INDEX(Forecast!$B$8:$Z$8,1,(B113)+13)*Inputs!$B$20+Inputs!$B$22)/7,IF(C113=202610,(Inputs!$B$21+Inputs!$B$22)/7,0))</f>
        <v>6815.54903466538</v>
      </c>
      <c r="I113" s="11" t="n">
        <f aca="false">IF(DAY(A113)=22,SUMIFS($H$2:$H$176,$C$2:$C$176,E113),0)</f>
        <v>134735.905108797</v>
      </c>
      <c r="J113" s="11" t="n">
        <f aca="false">IF(DAY(A113)=1,Inputs!$B$24,0)</f>
        <v>0</v>
      </c>
      <c r="K113" s="11" t="n">
        <f aca="false">IF(DAY(A113)=1,Inputs!$B$30*Inputs!$B$31/12,0)</f>
        <v>0</v>
      </c>
      <c r="L113" s="11" t="n">
        <f aca="false">IF(DAY(A113)=20,Inputs!$B$25*SUMIFS($G$2:$G$176,$C$2:$C$176,E113),0)</f>
        <v>0</v>
      </c>
    </row>
    <row r="114" customFormat="false" ht="15" hidden="false" customHeight="false" outlineLevel="0" collapsed="false">
      <c r="A114" s="29" t="n">
        <v>46349</v>
      </c>
      <c r="B114" s="30" t="n">
        <f aca="false">INT((A114-Inputs!$B$5)/7)</f>
        <v>4</v>
      </c>
      <c r="C114" s="30" t="n">
        <f aca="false">YEAR(A114)*100+MONTH(A114)</f>
        <v>202611</v>
      </c>
      <c r="D114" s="20" t="n">
        <f aca="false">IF(AND(A114&gt;=Inputs!$B$33,A114&lt;=Inputs!$B$34),INDEX(Inputs!$B$38:$B$49,11)*30*Inputs!$B$35/7,IF(MONTH(A114)=11,INDEX(Inputs!$B$38:$B$49,11)*30*(1-Inputs!$B$35)/23,INDEX(Inputs!$B$38:$B$49,MONTH(A114))))</f>
        <v>3.6</v>
      </c>
      <c r="E114" s="30" t="n">
        <f aca="false">IF(MONTH(A114)=1,(YEAR(A114)-1)*100+12,YEAR(A114)*100+MONTH(A114)-1)</f>
        <v>202610</v>
      </c>
      <c r="F114" s="20" t="n">
        <f aca="false">D114/SUMIFS($D$2:$D$176,$B$2:$B$176,B114)</f>
        <v>0.142857142857143</v>
      </c>
      <c r="G114" s="11" t="n">
        <f aca="false">INDEX(Forecast!$B$8:$Z$8,1,(B114)+13)*F114</f>
        <v>64578.0130800374</v>
      </c>
      <c r="H114" s="11" t="n">
        <f aca="false">IF(B114&gt;=0,(INDEX(Forecast!$B$8:$Z$8,1,(B114)+13)*Inputs!$B$20+Inputs!$B$22)/7,IF(C114=202610,(Inputs!$B$21+Inputs!$B$22)/7,0))</f>
        <v>14536.8332072786</v>
      </c>
      <c r="I114" s="11" t="n">
        <f aca="false">IF(DAY(A114)=22,SUMIFS($H$2:$H$176,$C$2:$C$176,E114),0)</f>
        <v>0</v>
      </c>
      <c r="J114" s="11" t="n">
        <f aca="false">IF(DAY(A114)=1,Inputs!$B$24,0)</f>
        <v>0</v>
      </c>
      <c r="K114" s="11" t="n">
        <f aca="false">IF(DAY(A114)=1,Inputs!$B$30*Inputs!$B$31/12,0)</f>
        <v>0</v>
      </c>
      <c r="L114" s="11" t="n">
        <f aca="false">IF(DAY(A114)=20,Inputs!$B$25*SUMIFS($G$2:$G$176,$C$2:$C$176,E114),0)</f>
        <v>0</v>
      </c>
    </row>
    <row r="115" customFormat="false" ht="15" hidden="false" customHeight="false" outlineLevel="0" collapsed="false">
      <c r="A115" s="29" t="n">
        <v>46350</v>
      </c>
      <c r="B115" s="30" t="n">
        <f aca="false">INT((A115-Inputs!$B$5)/7)</f>
        <v>4</v>
      </c>
      <c r="C115" s="30" t="n">
        <f aca="false">YEAR(A115)*100+MONTH(A115)</f>
        <v>202611</v>
      </c>
      <c r="D115" s="20" t="n">
        <f aca="false">IF(AND(A115&gt;=Inputs!$B$33,A115&lt;=Inputs!$B$34),INDEX(Inputs!$B$38:$B$49,11)*30*Inputs!$B$35/7,IF(MONTH(A115)=11,INDEX(Inputs!$B$38:$B$49,11)*30*(1-Inputs!$B$35)/23,INDEX(Inputs!$B$38:$B$49,MONTH(A115))))</f>
        <v>3.6</v>
      </c>
      <c r="E115" s="30" t="n">
        <f aca="false">IF(MONTH(A115)=1,(YEAR(A115)-1)*100+12,YEAR(A115)*100+MONTH(A115)-1)</f>
        <v>202610</v>
      </c>
      <c r="F115" s="20" t="n">
        <f aca="false">D115/SUMIFS($D$2:$D$176,$B$2:$B$176,B115)</f>
        <v>0.142857142857143</v>
      </c>
      <c r="G115" s="11" t="n">
        <f aca="false">INDEX(Forecast!$B$8:$Z$8,1,(B115)+13)*F115</f>
        <v>64578.0130800374</v>
      </c>
      <c r="H115" s="11" t="n">
        <f aca="false">IF(B115&gt;=0,(INDEX(Forecast!$B$8:$Z$8,1,(B115)+13)*Inputs!$B$20+Inputs!$B$22)/7,IF(C115=202610,(Inputs!$B$21+Inputs!$B$22)/7,0))</f>
        <v>14536.8332072786</v>
      </c>
      <c r="I115" s="11" t="n">
        <f aca="false">IF(DAY(A115)=22,SUMIFS($H$2:$H$176,$C$2:$C$176,E115),0)</f>
        <v>0</v>
      </c>
      <c r="J115" s="11" t="n">
        <f aca="false">IF(DAY(A115)=1,Inputs!$B$24,0)</f>
        <v>0</v>
      </c>
      <c r="K115" s="11" t="n">
        <f aca="false">IF(DAY(A115)=1,Inputs!$B$30*Inputs!$B$31/12,0)</f>
        <v>0</v>
      </c>
      <c r="L115" s="11" t="n">
        <f aca="false">IF(DAY(A115)=20,Inputs!$B$25*SUMIFS($G$2:$G$176,$C$2:$C$176,E115),0)</f>
        <v>0</v>
      </c>
    </row>
    <row r="116" customFormat="false" ht="15" hidden="false" customHeight="false" outlineLevel="0" collapsed="false">
      <c r="A116" s="29" t="n">
        <v>46351</v>
      </c>
      <c r="B116" s="30" t="n">
        <f aca="false">INT((A116-Inputs!$B$5)/7)</f>
        <v>4</v>
      </c>
      <c r="C116" s="30" t="n">
        <f aca="false">YEAR(A116)*100+MONTH(A116)</f>
        <v>202611</v>
      </c>
      <c r="D116" s="20" t="n">
        <f aca="false">IF(AND(A116&gt;=Inputs!$B$33,A116&lt;=Inputs!$B$34),INDEX(Inputs!$B$38:$B$49,11)*30*Inputs!$B$35/7,IF(MONTH(A116)=11,INDEX(Inputs!$B$38:$B$49,11)*30*(1-Inputs!$B$35)/23,INDEX(Inputs!$B$38:$B$49,MONTH(A116))))</f>
        <v>3.6</v>
      </c>
      <c r="E116" s="30" t="n">
        <f aca="false">IF(MONTH(A116)=1,(YEAR(A116)-1)*100+12,YEAR(A116)*100+MONTH(A116)-1)</f>
        <v>202610</v>
      </c>
      <c r="F116" s="20" t="n">
        <f aca="false">D116/SUMIFS($D$2:$D$176,$B$2:$B$176,B116)</f>
        <v>0.142857142857143</v>
      </c>
      <c r="G116" s="11" t="n">
        <f aca="false">INDEX(Forecast!$B$8:$Z$8,1,(B116)+13)*F116</f>
        <v>64578.0130800374</v>
      </c>
      <c r="H116" s="11" t="n">
        <f aca="false">IF(B116&gt;=0,(INDEX(Forecast!$B$8:$Z$8,1,(B116)+13)*Inputs!$B$20+Inputs!$B$22)/7,IF(C116=202610,(Inputs!$B$21+Inputs!$B$22)/7,0))</f>
        <v>14536.8332072786</v>
      </c>
      <c r="I116" s="11" t="n">
        <f aca="false">IF(DAY(A116)=22,SUMIFS($H$2:$H$176,$C$2:$C$176,E116),0)</f>
        <v>0</v>
      </c>
      <c r="J116" s="11" t="n">
        <f aca="false">IF(DAY(A116)=1,Inputs!$B$24,0)</f>
        <v>0</v>
      </c>
      <c r="K116" s="11" t="n">
        <f aca="false">IF(DAY(A116)=1,Inputs!$B$30*Inputs!$B$31/12,0)</f>
        <v>0</v>
      </c>
      <c r="L116" s="11" t="n">
        <f aca="false">IF(DAY(A116)=20,Inputs!$B$25*SUMIFS($G$2:$G$176,$C$2:$C$176,E116),0)</f>
        <v>0</v>
      </c>
    </row>
    <row r="117" customFormat="false" ht="15" hidden="false" customHeight="false" outlineLevel="0" collapsed="false">
      <c r="A117" s="29" t="n">
        <v>46352</v>
      </c>
      <c r="B117" s="30" t="n">
        <f aca="false">INT((A117-Inputs!$B$5)/7)</f>
        <v>4</v>
      </c>
      <c r="C117" s="30" t="n">
        <f aca="false">YEAR(A117)*100+MONTH(A117)</f>
        <v>202611</v>
      </c>
      <c r="D117" s="20" t="n">
        <f aca="false">IF(AND(A117&gt;=Inputs!$B$33,A117&lt;=Inputs!$B$34),INDEX(Inputs!$B$38:$B$49,11)*30*Inputs!$B$35/7,IF(MONTH(A117)=11,INDEX(Inputs!$B$38:$B$49,11)*30*(1-Inputs!$B$35)/23,INDEX(Inputs!$B$38:$B$49,MONTH(A117))))</f>
        <v>3.6</v>
      </c>
      <c r="E117" s="30" t="n">
        <f aca="false">IF(MONTH(A117)=1,(YEAR(A117)-1)*100+12,YEAR(A117)*100+MONTH(A117)-1)</f>
        <v>202610</v>
      </c>
      <c r="F117" s="20" t="n">
        <f aca="false">D117/SUMIFS($D$2:$D$176,$B$2:$B$176,B117)</f>
        <v>0.142857142857143</v>
      </c>
      <c r="G117" s="11" t="n">
        <f aca="false">INDEX(Forecast!$B$8:$Z$8,1,(B117)+13)*F117</f>
        <v>64578.0130800374</v>
      </c>
      <c r="H117" s="11" t="n">
        <f aca="false">IF(B117&gt;=0,(INDEX(Forecast!$B$8:$Z$8,1,(B117)+13)*Inputs!$B$20+Inputs!$B$22)/7,IF(C117=202610,(Inputs!$B$21+Inputs!$B$22)/7,0))</f>
        <v>14536.8332072786</v>
      </c>
      <c r="I117" s="11" t="n">
        <f aca="false">IF(DAY(A117)=22,SUMIFS($H$2:$H$176,$C$2:$C$176,E117),0)</f>
        <v>0</v>
      </c>
      <c r="J117" s="11" t="n">
        <f aca="false">IF(DAY(A117)=1,Inputs!$B$24,0)</f>
        <v>0</v>
      </c>
      <c r="K117" s="11" t="n">
        <f aca="false">IF(DAY(A117)=1,Inputs!$B$30*Inputs!$B$31/12,0)</f>
        <v>0</v>
      </c>
      <c r="L117" s="11" t="n">
        <f aca="false">IF(DAY(A117)=20,Inputs!$B$25*SUMIFS($G$2:$G$176,$C$2:$C$176,E117),0)</f>
        <v>0</v>
      </c>
    </row>
    <row r="118" customFormat="false" ht="15" hidden="false" customHeight="false" outlineLevel="0" collapsed="false">
      <c r="A118" s="29" t="n">
        <v>46353</v>
      </c>
      <c r="B118" s="30" t="n">
        <f aca="false">INT((A118-Inputs!$B$5)/7)</f>
        <v>4</v>
      </c>
      <c r="C118" s="30" t="n">
        <f aca="false">YEAR(A118)*100+MONTH(A118)</f>
        <v>202611</v>
      </c>
      <c r="D118" s="20" t="n">
        <f aca="false">IF(AND(A118&gt;=Inputs!$B$33,A118&lt;=Inputs!$B$34),INDEX(Inputs!$B$38:$B$49,11)*30*Inputs!$B$35/7,IF(MONTH(A118)=11,INDEX(Inputs!$B$38:$B$49,11)*30*(1-Inputs!$B$35)/23,INDEX(Inputs!$B$38:$B$49,MONTH(A118))))</f>
        <v>3.6</v>
      </c>
      <c r="E118" s="30" t="n">
        <f aca="false">IF(MONTH(A118)=1,(YEAR(A118)-1)*100+12,YEAR(A118)*100+MONTH(A118)-1)</f>
        <v>202610</v>
      </c>
      <c r="F118" s="20" t="n">
        <f aca="false">D118/SUMIFS($D$2:$D$176,$B$2:$B$176,B118)</f>
        <v>0.142857142857143</v>
      </c>
      <c r="G118" s="11" t="n">
        <f aca="false">INDEX(Forecast!$B$8:$Z$8,1,(B118)+13)*F118</f>
        <v>64578.0130800374</v>
      </c>
      <c r="H118" s="11" t="n">
        <f aca="false">IF(B118&gt;=0,(INDEX(Forecast!$B$8:$Z$8,1,(B118)+13)*Inputs!$B$20+Inputs!$B$22)/7,IF(C118=202610,(Inputs!$B$21+Inputs!$B$22)/7,0))</f>
        <v>14536.8332072786</v>
      </c>
      <c r="I118" s="11" t="n">
        <f aca="false">IF(DAY(A118)=22,SUMIFS($H$2:$H$176,$C$2:$C$176,E118),0)</f>
        <v>0</v>
      </c>
      <c r="J118" s="11" t="n">
        <f aca="false">IF(DAY(A118)=1,Inputs!$B$24,0)</f>
        <v>0</v>
      </c>
      <c r="K118" s="11" t="n">
        <f aca="false">IF(DAY(A118)=1,Inputs!$B$30*Inputs!$B$31/12,0)</f>
        <v>0</v>
      </c>
      <c r="L118" s="11" t="n">
        <f aca="false">IF(DAY(A118)=20,Inputs!$B$25*SUMIFS($G$2:$G$176,$C$2:$C$176,E118),0)</f>
        <v>0</v>
      </c>
    </row>
    <row r="119" customFormat="false" ht="15" hidden="false" customHeight="false" outlineLevel="0" collapsed="false">
      <c r="A119" s="29" t="n">
        <v>46354</v>
      </c>
      <c r="B119" s="30" t="n">
        <f aca="false">INT((A119-Inputs!$B$5)/7)</f>
        <v>4</v>
      </c>
      <c r="C119" s="30" t="n">
        <f aca="false">YEAR(A119)*100+MONTH(A119)</f>
        <v>202611</v>
      </c>
      <c r="D119" s="20" t="n">
        <f aca="false">IF(AND(A119&gt;=Inputs!$B$33,A119&lt;=Inputs!$B$34),INDEX(Inputs!$B$38:$B$49,11)*30*Inputs!$B$35/7,IF(MONTH(A119)=11,INDEX(Inputs!$B$38:$B$49,11)*30*(1-Inputs!$B$35)/23,INDEX(Inputs!$B$38:$B$49,MONTH(A119))))</f>
        <v>3.6</v>
      </c>
      <c r="E119" s="30" t="n">
        <f aca="false">IF(MONTH(A119)=1,(YEAR(A119)-1)*100+12,YEAR(A119)*100+MONTH(A119)-1)</f>
        <v>202610</v>
      </c>
      <c r="F119" s="20" t="n">
        <f aca="false">D119/SUMIFS($D$2:$D$176,$B$2:$B$176,B119)</f>
        <v>0.142857142857143</v>
      </c>
      <c r="G119" s="11" t="n">
        <f aca="false">INDEX(Forecast!$B$8:$Z$8,1,(B119)+13)*F119</f>
        <v>64578.0130800374</v>
      </c>
      <c r="H119" s="11" t="n">
        <f aca="false">IF(B119&gt;=0,(INDEX(Forecast!$B$8:$Z$8,1,(B119)+13)*Inputs!$B$20+Inputs!$B$22)/7,IF(C119=202610,(Inputs!$B$21+Inputs!$B$22)/7,0))</f>
        <v>14536.8332072786</v>
      </c>
      <c r="I119" s="11" t="n">
        <f aca="false">IF(DAY(A119)=22,SUMIFS($H$2:$H$176,$C$2:$C$176,E119),0)</f>
        <v>0</v>
      </c>
      <c r="J119" s="11" t="n">
        <f aca="false">IF(DAY(A119)=1,Inputs!$B$24,0)</f>
        <v>0</v>
      </c>
      <c r="K119" s="11" t="n">
        <f aca="false">IF(DAY(A119)=1,Inputs!$B$30*Inputs!$B$31/12,0)</f>
        <v>0</v>
      </c>
      <c r="L119" s="11" t="n">
        <f aca="false">IF(DAY(A119)=20,Inputs!$B$25*SUMIFS($G$2:$G$176,$C$2:$C$176,E119),0)</f>
        <v>0</v>
      </c>
    </row>
    <row r="120" customFormat="false" ht="15" hidden="false" customHeight="false" outlineLevel="0" collapsed="false">
      <c r="A120" s="29" t="n">
        <v>46355</v>
      </c>
      <c r="B120" s="30" t="n">
        <f aca="false">INT((A120-Inputs!$B$5)/7)</f>
        <v>4</v>
      </c>
      <c r="C120" s="30" t="n">
        <f aca="false">YEAR(A120)*100+MONTH(A120)</f>
        <v>202611</v>
      </c>
      <c r="D120" s="20" t="n">
        <f aca="false">IF(AND(A120&gt;=Inputs!$B$33,A120&lt;=Inputs!$B$34),INDEX(Inputs!$B$38:$B$49,11)*30*Inputs!$B$35/7,IF(MONTH(A120)=11,INDEX(Inputs!$B$38:$B$49,11)*30*(1-Inputs!$B$35)/23,INDEX(Inputs!$B$38:$B$49,MONTH(A120))))</f>
        <v>3.6</v>
      </c>
      <c r="E120" s="30" t="n">
        <f aca="false">IF(MONTH(A120)=1,(YEAR(A120)-1)*100+12,YEAR(A120)*100+MONTH(A120)-1)</f>
        <v>202610</v>
      </c>
      <c r="F120" s="20" t="n">
        <f aca="false">D120/SUMIFS($D$2:$D$176,$B$2:$B$176,B120)</f>
        <v>0.142857142857143</v>
      </c>
      <c r="G120" s="11" t="n">
        <f aca="false">INDEX(Forecast!$B$8:$Z$8,1,(B120)+13)*F120</f>
        <v>64578.0130800374</v>
      </c>
      <c r="H120" s="11" t="n">
        <f aca="false">IF(B120&gt;=0,(INDEX(Forecast!$B$8:$Z$8,1,(B120)+13)*Inputs!$B$20+Inputs!$B$22)/7,IF(C120=202610,(Inputs!$B$21+Inputs!$B$22)/7,0))</f>
        <v>14536.8332072786</v>
      </c>
      <c r="I120" s="11" t="n">
        <f aca="false">IF(DAY(A120)=22,SUMIFS($H$2:$H$176,$C$2:$C$176,E120),0)</f>
        <v>0</v>
      </c>
      <c r="J120" s="11" t="n">
        <f aca="false">IF(DAY(A120)=1,Inputs!$B$24,0)</f>
        <v>0</v>
      </c>
      <c r="K120" s="11" t="n">
        <f aca="false">IF(DAY(A120)=1,Inputs!$B$30*Inputs!$B$31/12,0)</f>
        <v>0</v>
      </c>
      <c r="L120" s="11" t="n">
        <f aca="false">IF(DAY(A120)=20,Inputs!$B$25*SUMIFS($G$2:$G$176,$C$2:$C$176,E120),0)</f>
        <v>0</v>
      </c>
    </row>
    <row r="121" customFormat="false" ht="15" hidden="false" customHeight="false" outlineLevel="0" collapsed="false">
      <c r="A121" s="29" t="n">
        <v>46356</v>
      </c>
      <c r="B121" s="30" t="n">
        <f aca="false">INT((A121-Inputs!$B$5)/7)</f>
        <v>5</v>
      </c>
      <c r="C121" s="30" t="n">
        <f aca="false">YEAR(A121)*100+MONTH(A121)</f>
        <v>202611</v>
      </c>
      <c r="D121" s="20" t="n">
        <f aca="false">IF(AND(A121&gt;=Inputs!$B$33,A121&lt;=Inputs!$B$34),INDEX(Inputs!$B$38:$B$49,11)*30*Inputs!$B$35/7,IF(MONTH(A121)=11,INDEX(Inputs!$B$38:$B$49,11)*30*(1-Inputs!$B$35)/23,INDEX(Inputs!$B$38:$B$49,MONTH(A121))))</f>
        <v>1.64347826086957</v>
      </c>
      <c r="E121" s="30" t="n">
        <f aca="false">IF(MONTH(A121)=1,(YEAR(A121)-1)*100+12,YEAR(A121)*100+MONTH(A121)-1)</f>
        <v>202610</v>
      </c>
      <c r="F121" s="20" t="n">
        <f aca="false">D121/SUMIFS($D$2:$D$176,$B$2:$B$176,B121)</f>
        <v>0.146171693735499</v>
      </c>
      <c r="G121" s="11" t="n">
        <f aca="false">INDEX(Forecast!$B$8:$Z$8,1,(B121)+13)*F121</f>
        <v>29481.2668408866</v>
      </c>
      <c r="H121" s="11" t="n">
        <f aca="false">IF(B121&gt;=0,(INDEX(Forecast!$B$8:$Z$8,1,(B121)+13)*Inputs!$B$20+Inputs!$B$22)/7,IF(C121=202610,(Inputs!$B$21+Inputs!$B$22)/7,0))</f>
        <v>6668.47695518704</v>
      </c>
      <c r="I121" s="11" t="n">
        <f aca="false">IF(DAY(A121)=22,SUMIFS($H$2:$H$176,$C$2:$C$176,E121),0)</f>
        <v>0</v>
      </c>
      <c r="J121" s="11" t="n">
        <f aca="false">IF(DAY(A121)=1,Inputs!$B$24,0)</f>
        <v>0</v>
      </c>
      <c r="K121" s="11" t="n">
        <f aca="false">IF(DAY(A121)=1,Inputs!$B$30*Inputs!$B$31/12,0)</f>
        <v>0</v>
      </c>
      <c r="L121" s="11" t="n">
        <f aca="false">IF(DAY(A121)=20,Inputs!$B$25*SUMIFS($G$2:$G$176,$C$2:$C$176,E121),0)</f>
        <v>0</v>
      </c>
    </row>
    <row r="122" customFormat="false" ht="15" hidden="false" customHeight="false" outlineLevel="0" collapsed="false">
      <c r="A122" s="29" t="n">
        <v>46357</v>
      </c>
      <c r="B122" s="30" t="n">
        <f aca="false">INT((A122-Inputs!$B$5)/7)</f>
        <v>5</v>
      </c>
      <c r="C122" s="30" t="n">
        <f aca="false">YEAR(A122)*100+MONTH(A122)</f>
        <v>202612</v>
      </c>
      <c r="D122" s="20" t="n">
        <f aca="false">IF(AND(A122&gt;=Inputs!$B$33,A122&lt;=Inputs!$B$34),INDEX(Inputs!$B$38:$B$49,11)*30*Inputs!$B$35/7,IF(MONTH(A122)=11,INDEX(Inputs!$B$38:$B$49,11)*30*(1-Inputs!$B$35)/23,INDEX(Inputs!$B$38:$B$49,MONTH(A122))))</f>
        <v>1.6</v>
      </c>
      <c r="E122" s="30" t="n">
        <f aca="false">IF(MONTH(A122)=1,(YEAR(A122)-1)*100+12,YEAR(A122)*100+MONTH(A122)-1)</f>
        <v>202611</v>
      </c>
      <c r="F122" s="20" t="n">
        <f aca="false">D122/SUMIFS($D$2:$D$176,$B$2:$B$176,B122)</f>
        <v>0.14230471771075</v>
      </c>
      <c r="G122" s="11" t="n">
        <f aca="false">INDEX(Forecast!$B$8:$Z$8,1,(B122)+13)*F122</f>
        <v>28701.3391466833</v>
      </c>
      <c r="H122" s="11" t="n">
        <f aca="false">IF(B122&gt;=0,(INDEX(Forecast!$B$8:$Z$8,1,(B122)+13)*Inputs!$B$20+Inputs!$B$22)/7,IF(C122=202610,(Inputs!$B$21+Inputs!$B$22)/7,0))</f>
        <v>6668.47695518704</v>
      </c>
      <c r="I122" s="11" t="n">
        <f aca="false">IF(DAY(A122)=22,SUMIFS($H$2:$H$176,$C$2:$C$176,E122),0)</f>
        <v>0</v>
      </c>
      <c r="J122" s="11" t="n">
        <f aca="false">IF(DAY(A122)=1,Inputs!$B$24,0)</f>
        <v>24000</v>
      </c>
      <c r="K122" s="11" t="n">
        <f aca="false">IF(DAY(A122)=1,Inputs!$B$30*Inputs!$B$31/12,0)</f>
        <v>3666.66666666667</v>
      </c>
      <c r="L122" s="11" t="n">
        <f aca="false">IF(DAY(A122)=20,Inputs!$B$25*SUMIFS($G$2:$G$176,$C$2:$C$176,E122),0)</f>
        <v>0</v>
      </c>
    </row>
    <row r="123" customFormat="false" ht="15" hidden="false" customHeight="false" outlineLevel="0" collapsed="false">
      <c r="A123" s="29" t="n">
        <v>46358</v>
      </c>
      <c r="B123" s="30" t="n">
        <f aca="false">INT((A123-Inputs!$B$5)/7)</f>
        <v>5</v>
      </c>
      <c r="C123" s="30" t="n">
        <f aca="false">YEAR(A123)*100+MONTH(A123)</f>
        <v>202612</v>
      </c>
      <c r="D123" s="20" t="n">
        <f aca="false">IF(AND(A123&gt;=Inputs!$B$33,A123&lt;=Inputs!$B$34),INDEX(Inputs!$B$38:$B$49,11)*30*Inputs!$B$35/7,IF(MONTH(A123)=11,INDEX(Inputs!$B$38:$B$49,11)*30*(1-Inputs!$B$35)/23,INDEX(Inputs!$B$38:$B$49,MONTH(A123))))</f>
        <v>1.6</v>
      </c>
      <c r="E123" s="30" t="n">
        <f aca="false">IF(MONTH(A123)=1,(YEAR(A123)-1)*100+12,YEAR(A123)*100+MONTH(A123)-1)</f>
        <v>202611</v>
      </c>
      <c r="F123" s="20" t="n">
        <f aca="false">D123/SUMIFS($D$2:$D$176,$B$2:$B$176,B123)</f>
        <v>0.14230471771075</v>
      </c>
      <c r="G123" s="11" t="n">
        <f aca="false">INDEX(Forecast!$B$8:$Z$8,1,(B123)+13)*F123</f>
        <v>28701.3391466833</v>
      </c>
      <c r="H123" s="11" t="n">
        <f aca="false">IF(B123&gt;=0,(INDEX(Forecast!$B$8:$Z$8,1,(B123)+13)*Inputs!$B$20+Inputs!$B$22)/7,IF(C123=202610,(Inputs!$B$21+Inputs!$B$22)/7,0))</f>
        <v>6668.47695518704</v>
      </c>
      <c r="I123" s="11" t="n">
        <f aca="false">IF(DAY(A123)=22,SUMIFS($H$2:$H$176,$C$2:$C$176,E123),0)</f>
        <v>0</v>
      </c>
      <c r="J123" s="11" t="n">
        <f aca="false">IF(DAY(A123)=1,Inputs!$B$24,0)</f>
        <v>0</v>
      </c>
      <c r="K123" s="11" t="n">
        <f aca="false">IF(DAY(A123)=1,Inputs!$B$30*Inputs!$B$31/12,0)</f>
        <v>0</v>
      </c>
      <c r="L123" s="11" t="n">
        <f aca="false">IF(DAY(A123)=20,Inputs!$B$25*SUMIFS($G$2:$G$176,$C$2:$C$176,E123),0)</f>
        <v>0</v>
      </c>
    </row>
    <row r="124" customFormat="false" ht="15" hidden="false" customHeight="false" outlineLevel="0" collapsed="false">
      <c r="A124" s="29" t="n">
        <v>46359</v>
      </c>
      <c r="B124" s="30" t="n">
        <f aca="false">INT((A124-Inputs!$B$5)/7)</f>
        <v>5</v>
      </c>
      <c r="C124" s="30" t="n">
        <f aca="false">YEAR(A124)*100+MONTH(A124)</f>
        <v>202612</v>
      </c>
      <c r="D124" s="20" t="n">
        <f aca="false">IF(AND(A124&gt;=Inputs!$B$33,A124&lt;=Inputs!$B$34),INDEX(Inputs!$B$38:$B$49,11)*30*Inputs!$B$35/7,IF(MONTH(A124)=11,INDEX(Inputs!$B$38:$B$49,11)*30*(1-Inputs!$B$35)/23,INDEX(Inputs!$B$38:$B$49,MONTH(A124))))</f>
        <v>1.6</v>
      </c>
      <c r="E124" s="30" t="n">
        <f aca="false">IF(MONTH(A124)=1,(YEAR(A124)-1)*100+12,YEAR(A124)*100+MONTH(A124)-1)</f>
        <v>202611</v>
      </c>
      <c r="F124" s="20" t="n">
        <f aca="false">D124/SUMIFS($D$2:$D$176,$B$2:$B$176,B124)</f>
        <v>0.14230471771075</v>
      </c>
      <c r="G124" s="11" t="n">
        <f aca="false">INDEX(Forecast!$B$8:$Z$8,1,(B124)+13)*F124</f>
        <v>28701.3391466833</v>
      </c>
      <c r="H124" s="11" t="n">
        <f aca="false">IF(B124&gt;=0,(INDEX(Forecast!$B$8:$Z$8,1,(B124)+13)*Inputs!$B$20+Inputs!$B$22)/7,IF(C124=202610,(Inputs!$B$21+Inputs!$B$22)/7,0))</f>
        <v>6668.47695518704</v>
      </c>
      <c r="I124" s="11" t="n">
        <f aca="false">IF(DAY(A124)=22,SUMIFS($H$2:$H$176,$C$2:$C$176,E124),0)</f>
        <v>0</v>
      </c>
      <c r="J124" s="11" t="n">
        <f aca="false">IF(DAY(A124)=1,Inputs!$B$24,0)</f>
        <v>0</v>
      </c>
      <c r="K124" s="11" t="n">
        <f aca="false">IF(DAY(A124)=1,Inputs!$B$30*Inputs!$B$31/12,0)</f>
        <v>0</v>
      </c>
      <c r="L124" s="11" t="n">
        <f aca="false">IF(DAY(A124)=20,Inputs!$B$25*SUMIFS($G$2:$G$176,$C$2:$C$176,E124),0)</f>
        <v>0</v>
      </c>
    </row>
    <row r="125" customFormat="false" ht="15" hidden="false" customHeight="false" outlineLevel="0" collapsed="false">
      <c r="A125" s="29" t="n">
        <v>46360</v>
      </c>
      <c r="B125" s="30" t="n">
        <f aca="false">INT((A125-Inputs!$B$5)/7)</f>
        <v>5</v>
      </c>
      <c r="C125" s="30" t="n">
        <f aca="false">YEAR(A125)*100+MONTH(A125)</f>
        <v>202612</v>
      </c>
      <c r="D125" s="20" t="n">
        <f aca="false">IF(AND(A125&gt;=Inputs!$B$33,A125&lt;=Inputs!$B$34),INDEX(Inputs!$B$38:$B$49,11)*30*Inputs!$B$35/7,IF(MONTH(A125)=11,INDEX(Inputs!$B$38:$B$49,11)*30*(1-Inputs!$B$35)/23,INDEX(Inputs!$B$38:$B$49,MONTH(A125))))</f>
        <v>1.6</v>
      </c>
      <c r="E125" s="30" t="n">
        <f aca="false">IF(MONTH(A125)=1,(YEAR(A125)-1)*100+12,YEAR(A125)*100+MONTH(A125)-1)</f>
        <v>202611</v>
      </c>
      <c r="F125" s="20" t="n">
        <f aca="false">D125/SUMIFS($D$2:$D$176,$B$2:$B$176,B125)</f>
        <v>0.14230471771075</v>
      </c>
      <c r="G125" s="11" t="n">
        <f aca="false">INDEX(Forecast!$B$8:$Z$8,1,(B125)+13)*F125</f>
        <v>28701.3391466833</v>
      </c>
      <c r="H125" s="11" t="n">
        <f aca="false">IF(B125&gt;=0,(INDEX(Forecast!$B$8:$Z$8,1,(B125)+13)*Inputs!$B$20+Inputs!$B$22)/7,IF(C125=202610,(Inputs!$B$21+Inputs!$B$22)/7,0))</f>
        <v>6668.47695518704</v>
      </c>
      <c r="I125" s="11" t="n">
        <f aca="false">IF(DAY(A125)=22,SUMIFS($H$2:$H$176,$C$2:$C$176,E125),0)</f>
        <v>0</v>
      </c>
      <c r="J125" s="11" t="n">
        <f aca="false">IF(DAY(A125)=1,Inputs!$B$24,0)</f>
        <v>0</v>
      </c>
      <c r="K125" s="11" t="n">
        <f aca="false">IF(DAY(A125)=1,Inputs!$B$30*Inputs!$B$31/12,0)</f>
        <v>0</v>
      </c>
      <c r="L125" s="11" t="n">
        <f aca="false">IF(DAY(A125)=20,Inputs!$B$25*SUMIFS($G$2:$G$176,$C$2:$C$176,E125),0)</f>
        <v>0</v>
      </c>
    </row>
    <row r="126" customFormat="false" ht="15" hidden="false" customHeight="false" outlineLevel="0" collapsed="false">
      <c r="A126" s="29" t="n">
        <v>46361</v>
      </c>
      <c r="B126" s="30" t="n">
        <f aca="false">INT((A126-Inputs!$B$5)/7)</f>
        <v>5</v>
      </c>
      <c r="C126" s="30" t="n">
        <f aca="false">YEAR(A126)*100+MONTH(A126)</f>
        <v>202612</v>
      </c>
      <c r="D126" s="20" t="n">
        <f aca="false">IF(AND(A126&gt;=Inputs!$B$33,A126&lt;=Inputs!$B$34),INDEX(Inputs!$B$38:$B$49,11)*30*Inputs!$B$35/7,IF(MONTH(A126)=11,INDEX(Inputs!$B$38:$B$49,11)*30*(1-Inputs!$B$35)/23,INDEX(Inputs!$B$38:$B$49,MONTH(A126))))</f>
        <v>1.6</v>
      </c>
      <c r="E126" s="30" t="n">
        <f aca="false">IF(MONTH(A126)=1,(YEAR(A126)-1)*100+12,YEAR(A126)*100+MONTH(A126)-1)</f>
        <v>202611</v>
      </c>
      <c r="F126" s="20" t="n">
        <f aca="false">D126/SUMIFS($D$2:$D$176,$B$2:$B$176,B126)</f>
        <v>0.14230471771075</v>
      </c>
      <c r="G126" s="11" t="n">
        <f aca="false">INDEX(Forecast!$B$8:$Z$8,1,(B126)+13)*F126</f>
        <v>28701.3391466833</v>
      </c>
      <c r="H126" s="11" t="n">
        <f aca="false">IF(B126&gt;=0,(INDEX(Forecast!$B$8:$Z$8,1,(B126)+13)*Inputs!$B$20+Inputs!$B$22)/7,IF(C126=202610,(Inputs!$B$21+Inputs!$B$22)/7,0))</f>
        <v>6668.47695518704</v>
      </c>
      <c r="I126" s="11" t="n">
        <f aca="false">IF(DAY(A126)=22,SUMIFS($H$2:$H$176,$C$2:$C$176,E126),0)</f>
        <v>0</v>
      </c>
      <c r="J126" s="11" t="n">
        <f aca="false">IF(DAY(A126)=1,Inputs!$B$24,0)</f>
        <v>0</v>
      </c>
      <c r="K126" s="11" t="n">
        <f aca="false">IF(DAY(A126)=1,Inputs!$B$30*Inputs!$B$31/12,0)</f>
        <v>0</v>
      </c>
      <c r="L126" s="11" t="n">
        <f aca="false">IF(DAY(A126)=20,Inputs!$B$25*SUMIFS($G$2:$G$176,$C$2:$C$176,E126),0)</f>
        <v>0</v>
      </c>
    </row>
    <row r="127" customFormat="false" ht="15" hidden="false" customHeight="false" outlineLevel="0" collapsed="false">
      <c r="A127" s="29" t="n">
        <v>46362</v>
      </c>
      <c r="B127" s="30" t="n">
        <f aca="false">INT((A127-Inputs!$B$5)/7)</f>
        <v>5</v>
      </c>
      <c r="C127" s="30" t="n">
        <f aca="false">YEAR(A127)*100+MONTH(A127)</f>
        <v>202612</v>
      </c>
      <c r="D127" s="20" t="n">
        <f aca="false">IF(AND(A127&gt;=Inputs!$B$33,A127&lt;=Inputs!$B$34),INDEX(Inputs!$B$38:$B$49,11)*30*Inputs!$B$35/7,IF(MONTH(A127)=11,INDEX(Inputs!$B$38:$B$49,11)*30*(1-Inputs!$B$35)/23,INDEX(Inputs!$B$38:$B$49,MONTH(A127))))</f>
        <v>1.6</v>
      </c>
      <c r="E127" s="30" t="n">
        <f aca="false">IF(MONTH(A127)=1,(YEAR(A127)-1)*100+12,YEAR(A127)*100+MONTH(A127)-1)</f>
        <v>202611</v>
      </c>
      <c r="F127" s="20" t="n">
        <f aca="false">D127/SUMIFS($D$2:$D$176,$B$2:$B$176,B127)</f>
        <v>0.14230471771075</v>
      </c>
      <c r="G127" s="11" t="n">
        <f aca="false">INDEX(Forecast!$B$8:$Z$8,1,(B127)+13)*F127</f>
        <v>28701.3391466833</v>
      </c>
      <c r="H127" s="11" t="n">
        <f aca="false">IF(B127&gt;=0,(INDEX(Forecast!$B$8:$Z$8,1,(B127)+13)*Inputs!$B$20+Inputs!$B$22)/7,IF(C127=202610,(Inputs!$B$21+Inputs!$B$22)/7,0))</f>
        <v>6668.47695518704</v>
      </c>
      <c r="I127" s="11" t="n">
        <f aca="false">IF(DAY(A127)=22,SUMIFS($H$2:$H$176,$C$2:$C$176,E127),0)</f>
        <v>0</v>
      </c>
      <c r="J127" s="11" t="n">
        <f aca="false">IF(DAY(A127)=1,Inputs!$B$24,0)</f>
        <v>0</v>
      </c>
      <c r="K127" s="11" t="n">
        <f aca="false">IF(DAY(A127)=1,Inputs!$B$30*Inputs!$B$31/12,0)</f>
        <v>0</v>
      </c>
      <c r="L127" s="11" t="n">
        <f aca="false">IF(DAY(A127)=20,Inputs!$B$25*SUMIFS($G$2:$G$176,$C$2:$C$176,E127),0)</f>
        <v>0</v>
      </c>
    </row>
    <row r="128" customFormat="false" ht="15" hidden="false" customHeight="false" outlineLevel="0" collapsed="false">
      <c r="A128" s="29" t="n">
        <v>46363</v>
      </c>
      <c r="B128" s="30" t="n">
        <f aca="false">INT((A128-Inputs!$B$5)/7)</f>
        <v>6</v>
      </c>
      <c r="C128" s="30" t="n">
        <f aca="false">YEAR(A128)*100+MONTH(A128)</f>
        <v>202612</v>
      </c>
      <c r="D128" s="20" t="n">
        <f aca="false">IF(AND(A128&gt;=Inputs!$B$33,A128&lt;=Inputs!$B$34),INDEX(Inputs!$B$38:$B$49,11)*30*Inputs!$B$35/7,IF(MONTH(A128)=11,INDEX(Inputs!$B$38:$B$49,11)*30*(1-Inputs!$B$35)/23,INDEX(Inputs!$B$38:$B$49,MONTH(A128))))</f>
        <v>1.6</v>
      </c>
      <c r="E128" s="30" t="n">
        <f aca="false">IF(MONTH(A128)=1,(YEAR(A128)-1)*100+12,YEAR(A128)*100+MONTH(A128)-1)</f>
        <v>202611</v>
      </c>
      <c r="F128" s="20" t="n">
        <f aca="false">D128/SUMIFS($D$2:$D$176,$B$2:$B$176,B128)</f>
        <v>0.142857142857143</v>
      </c>
      <c r="G128" s="11" t="n">
        <f aca="false">INDEX(Forecast!$B$8:$Z$8,1,(B128)+13)*F128</f>
        <v>28701.3391466833</v>
      </c>
      <c r="H128" s="11" t="n">
        <f aca="false">IF(B128&gt;=0,(INDEX(Forecast!$B$8:$Z$8,1,(B128)+13)*Inputs!$B$20+Inputs!$B$22)/7,IF(C128=202610,(Inputs!$B$21+Inputs!$B$22)/7,0))</f>
        <v>6643.96494194065</v>
      </c>
      <c r="I128" s="11" t="n">
        <f aca="false">IF(DAY(A128)=22,SUMIFS($H$2:$H$176,$C$2:$C$176,E128),0)</f>
        <v>0</v>
      </c>
      <c r="J128" s="11" t="n">
        <f aca="false">IF(DAY(A128)=1,Inputs!$B$24,0)</f>
        <v>0</v>
      </c>
      <c r="K128" s="11" t="n">
        <f aca="false">IF(DAY(A128)=1,Inputs!$B$30*Inputs!$B$31/12,0)</f>
        <v>0</v>
      </c>
      <c r="L128" s="11" t="n">
        <f aca="false">IF(DAY(A128)=20,Inputs!$B$25*SUMIFS($G$2:$G$176,$C$2:$C$176,E128),0)</f>
        <v>0</v>
      </c>
    </row>
    <row r="129" customFormat="false" ht="15" hidden="false" customHeight="false" outlineLevel="0" collapsed="false">
      <c r="A129" s="29" t="n">
        <v>46364</v>
      </c>
      <c r="B129" s="30" t="n">
        <f aca="false">INT((A129-Inputs!$B$5)/7)</f>
        <v>6</v>
      </c>
      <c r="C129" s="30" t="n">
        <f aca="false">YEAR(A129)*100+MONTH(A129)</f>
        <v>202612</v>
      </c>
      <c r="D129" s="20" t="n">
        <f aca="false">IF(AND(A129&gt;=Inputs!$B$33,A129&lt;=Inputs!$B$34),INDEX(Inputs!$B$38:$B$49,11)*30*Inputs!$B$35/7,IF(MONTH(A129)=11,INDEX(Inputs!$B$38:$B$49,11)*30*(1-Inputs!$B$35)/23,INDEX(Inputs!$B$38:$B$49,MONTH(A129))))</f>
        <v>1.6</v>
      </c>
      <c r="E129" s="30" t="n">
        <f aca="false">IF(MONTH(A129)=1,(YEAR(A129)-1)*100+12,YEAR(A129)*100+MONTH(A129)-1)</f>
        <v>202611</v>
      </c>
      <c r="F129" s="20" t="n">
        <f aca="false">D129/SUMIFS($D$2:$D$176,$B$2:$B$176,B129)</f>
        <v>0.142857142857143</v>
      </c>
      <c r="G129" s="11" t="n">
        <f aca="false">INDEX(Forecast!$B$8:$Z$8,1,(B129)+13)*F129</f>
        <v>28701.3391466833</v>
      </c>
      <c r="H129" s="11" t="n">
        <f aca="false">IF(B129&gt;=0,(INDEX(Forecast!$B$8:$Z$8,1,(B129)+13)*Inputs!$B$20+Inputs!$B$22)/7,IF(C129=202610,(Inputs!$B$21+Inputs!$B$22)/7,0))</f>
        <v>6643.96494194065</v>
      </c>
      <c r="I129" s="11" t="n">
        <f aca="false">IF(DAY(A129)=22,SUMIFS($H$2:$H$176,$C$2:$C$176,E129),0)</f>
        <v>0</v>
      </c>
      <c r="J129" s="11" t="n">
        <f aca="false">IF(DAY(A129)=1,Inputs!$B$24,0)</f>
        <v>0</v>
      </c>
      <c r="K129" s="11" t="n">
        <f aca="false">IF(DAY(A129)=1,Inputs!$B$30*Inputs!$B$31/12,0)</f>
        <v>0</v>
      </c>
      <c r="L129" s="11" t="n">
        <f aca="false">IF(DAY(A129)=20,Inputs!$B$25*SUMIFS($G$2:$G$176,$C$2:$C$176,E129),0)</f>
        <v>0</v>
      </c>
    </row>
    <row r="130" customFormat="false" ht="15" hidden="false" customHeight="false" outlineLevel="0" collapsed="false">
      <c r="A130" s="29" t="n">
        <v>46365</v>
      </c>
      <c r="B130" s="30" t="n">
        <f aca="false">INT((A130-Inputs!$B$5)/7)</f>
        <v>6</v>
      </c>
      <c r="C130" s="30" t="n">
        <f aca="false">YEAR(A130)*100+MONTH(A130)</f>
        <v>202612</v>
      </c>
      <c r="D130" s="20" t="n">
        <f aca="false">IF(AND(A130&gt;=Inputs!$B$33,A130&lt;=Inputs!$B$34),INDEX(Inputs!$B$38:$B$49,11)*30*Inputs!$B$35/7,IF(MONTH(A130)=11,INDEX(Inputs!$B$38:$B$49,11)*30*(1-Inputs!$B$35)/23,INDEX(Inputs!$B$38:$B$49,MONTH(A130))))</f>
        <v>1.6</v>
      </c>
      <c r="E130" s="30" t="n">
        <f aca="false">IF(MONTH(A130)=1,(YEAR(A130)-1)*100+12,YEAR(A130)*100+MONTH(A130)-1)</f>
        <v>202611</v>
      </c>
      <c r="F130" s="20" t="n">
        <f aca="false">D130/SUMIFS($D$2:$D$176,$B$2:$B$176,B130)</f>
        <v>0.142857142857143</v>
      </c>
      <c r="G130" s="11" t="n">
        <f aca="false">INDEX(Forecast!$B$8:$Z$8,1,(B130)+13)*F130</f>
        <v>28701.3391466833</v>
      </c>
      <c r="H130" s="11" t="n">
        <f aca="false">IF(B130&gt;=0,(INDEX(Forecast!$B$8:$Z$8,1,(B130)+13)*Inputs!$B$20+Inputs!$B$22)/7,IF(C130=202610,(Inputs!$B$21+Inputs!$B$22)/7,0))</f>
        <v>6643.96494194065</v>
      </c>
      <c r="I130" s="11" t="n">
        <f aca="false">IF(DAY(A130)=22,SUMIFS($H$2:$H$176,$C$2:$C$176,E130),0)</f>
        <v>0</v>
      </c>
      <c r="J130" s="11" t="n">
        <f aca="false">IF(DAY(A130)=1,Inputs!$B$24,0)</f>
        <v>0</v>
      </c>
      <c r="K130" s="11" t="n">
        <f aca="false">IF(DAY(A130)=1,Inputs!$B$30*Inputs!$B$31/12,0)</f>
        <v>0</v>
      </c>
      <c r="L130" s="11" t="n">
        <f aca="false">IF(DAY(A130)=20,Inputs!$B$25*SUMIFS($G$2:$G$176,$C$2:$C$176,E130),0)</f>
        <v>0</v>
      </c>
    </row>
    <row r="131" customFormat="false" ht="15" hidden="false" customHeight="false" outlineLevel="0" collapsed="false">
      <c r="A131" s="29" t="n">
        <v>46366</v>
      </c>
      <c r="B131" s="30" t="n">
        <f aca="false">INT((A131-Inputs!$B$5)/7)</f>
        <v>6</v>
      </c>
      <c r="C131" s="30" t="n">
        <f aca="false">YEAR(A131)*100+MONTH(A131)</f>
        <v>202612</v>
      </c>
      <c r="D131" s="20" t="n">
        <f aca="false">IF(AND(A131&gt;=Inputs!$B$33,A131&lt;=Inputs!$B$34),INDEX(Inputs!$B$38:$B$49,11)*30*Inputs!$B$35/7,IF(MONTH(A131)=11,INDEX(Inputs!$B$38:$B$49,11)*30*(1-Inputs!$B$35)/23,INDEX(Inputs!$B$38:$B$49,MONTH(A131))))</f>
        <v>1.6</v>
      </c>
      <c r="E131" s="30" t="n">
        <f aca="false">IF(MONTH(A131)=1,(YEAR(A131)-1)*100+12,YEAR(A131)*100+MONTH(A131)-1)</f>
        <v>202611</v>
      </c>
      <c r="F131" s="20" t="n">
        <f aca="false">D131/SUMIFS($D$2:$D$176,$B$2:$B$176,B131)</f>
        <v>0.142857142857143</v>
      </c>
      <c r="G131" s="11" t="n">
        <f aca="false">INDEX(Forecast!$B$8:$Z$8,1,(B131)+13)*F131</f>
        <v>28701.3391466833</v>
      </c>
      <c r="H131" s="11" t="n">
        <f aca="false">IF(B131&gt;=0,(INDEX(Forecast!$B$8:$Z$8,1,(B131)+13)*Inputs!$B$20+Inputs!$B$22)/7,IF(C131=202610,(Inputs!$B$21+Inputs!$B$22)/7,0))</f>
        <v>6643.96494194065</v>
      </c>
      <c r="I131" s="11" t="n">
        <f aca="false">IF(DAY(A131)=22,SUMIFS($H$2:$H$176,$C$2:$C$176,E131),0)</f>
        <v>0</v>
      </c>
      <c r="J131" s="11" t="n">
        <f aca="false">IF(DAY(A131)=1,Inputs!$B$24,0)</f>
        <v>0</v>
      </c>
      <c r="K131" s="11" t="n">
        <f aca="false">IF(DAY(A131)=1,Inputs!$B$30*Inputs!$B$31/12,0)</f>
        <v>0</v>
      </c>
      <c r="L131" s="11" t="n">
        <f aca="false">IF(DAY(A131)=20,Inputs!$B$25*SUMIFS($G$2:$G$176,$C$2:$C$176,E131),0)</f>
        <v>0</v>
      </c>
    </row>
    <row r="132" customFormat="false" ht="15" hidden="false" customHeight="false" outlineLevel="0" collapsed="false">
      <c r="A132" s="29" t="n">
        <v>46367</v>
      </c>
      <c r="B132" s="30" t="n">
        <f aca="false">INT((A132-Inputs!$B$5)/7)</f>
        <v>6</v>
      </c>
      <c r="C132" s="30" t="n">
        <f aca="false">YEAR(A132)*100+MONTH(A132)</f>
        <v>202612</v>
      </c>
      <c r="D132" s="20" t="n">
        <f aca="false">IF(AND(A132&gt;=Inputs!$B$33,A132&lt;=Inputs!$B$34),INDEX(Inputs!$B$38:$B$49,11)*30*Inputs!$B$35/7,IF(MONTH(A132)=11,INDEX(Inputs!$B$38:$B$49,11)*30*(1-Inputs!$B$35)/23,INDEX(Inputs!$B$38:$B$49,MONTH(A132))))</f>
        <v>1.6</v>
      </c>
      <c r="E132" s="30" t="n">
        <f aca="false">IF(MONTH(A132)=1,(YEAR(A132)-1)*100+12,YEAR(A132)*100+MONTH(A132)-1)</f>
        <v>202611</v>
      </c>
      <c r="F132" s="20" t="n">
        <f aca="false">D132/SUMIFS($D$2:$D$176,$B$2:$B$176,B132)</f>
        <v>0.142857142857143</v>
      </c>
      <c r="G132" s="11" t="n">
        <f aca="false">INDEX(Forecast!$B$8:$Z$8,1,(B132)+13)*F132</f>
        <v>28701.3391466833</v>
      </c>
      <c r="H132" s="11" t="n">
        <f aca="false">IF(B132&gt;=0,(INDEX(Forecast!$B$8:$Z$8,1,(B132)+13)*Inputs!$B$20+Inputs!$B$22)/7,IF(C132=202610,(Inputs!$B$21+Inputs!$B$22)/7,0))</f>
        <v>6643.96494194065</v>
      </c>
      <c r="I132" s="11" t="n">
        <f aca="false">IF(DAY(A132)=22,SUMIFS($H$2:$H$176,$C$2:$C$176,E132),0)</f>
        <v>0</v>
      </c>
      <c r="J132" s="11" t="n">
        <f aca="false">IF(DAY(A132)=1,Inputs!$B$24,0)</f>
        <v>0</v>
      </c>
      <c r="K132" s="11" t="n">
        <f aca="false">IF(DAY(A132)=1,Inputs!$B$30*Inputs!$B$31/12,0)</f>
        <v>0</v>
      </c>
      <c r="L132" s="11" t="n">
        <f aca="false">IF(DAY(A132)=20,Inputs!$B$25*SUMIFS($G$2:$G$176,$C$2:$C$176,E132),0)</f>
        <v>0</v>
      </c>
    </row>
    <row r="133" customFormat="false" ht="15" hidden="false" customHeight="false" outlineLevel="0" collapsed="false">
      <c r="A133" s="29" t="n">
        <v>46368</v>
      </c>
      <c r="B133" s="30" t="n">
        <f aca="false">INT((A133-Inputs!$B$5)/7)</f>
        <v>6</v>
      </c>
      <c r="C133" s="30" t="n">
        <f aca="false">YEAR(A133)*100+MONTH(A133)</f>
        <v>202612</v>
      </c>
      <c r="D133" s="20" t="n">
        <f aca="false">IF(AND(A133&gt;=Inputs!$B$33,A133&lt;=Inputs!$B$34),INDEX(Inputs!$B$38:$B$49,11)*30*Inputs!$B$35/7,IF(MONTH(A133)=11,INDEX(Inputs!$B$38:$B$49,11)*30*(1-Inputs!$B$35)/23,INDEX(Inputs!$B$38:$B$49,MONTH(A133))))</f>
        <v>1.6</v>
      </c>
      <c r="E133" s="30" t="n">
        <f aca="false">IF(MONTH(A133)=1,(YEAR(A133)-1)*100+12,YEAR(A133)*100+MONTH(A133)-1)</f>
        <v>202611</v>
      </c>
      <c r="F133" s="20" t="n">
        <f aca="false">D133/SUMIFS($D$2:$D$176,$B$2:$B$176,B133)</f>
        <v>0.142857142857143</v>
      </c>
      <c r="G133" s="11" t="n">
        <f aca="false">INDEX(Forecast!$B$8:$Z$8,1,(B133)+13)*F133</f>
        <v>28701.3391466833</v>
      </c>
      <c r="H133" s="11" t="n">
        <f aca="false">IF(B133&gt;=0,(INDEX(Forecast!$B$8:$Z$8,1,(B133)+13)*Inputs!$B$20+Inputs!$B$22)/7,IF(C133=202610,(Inputs!$B$21+Inputs!$B$22)/7,0))</f>
        <v>6643.96494194065</v>
      </c>
      <c r="I133" s="11" t="n">
        <f aca="false">IF(DAY(A133)=22,SUMIFS($H$2:$H$176,$C$2:$C$176,E133),0)</f>
        <v>0</v>
      </c>
      <c r="J133" s="11" t="n">
        <f aca="false">IF(DAY(A133)=1,Inputs!$B$24,0)</f>
        <v>0</v>
      </c>
      <c r="K133" s="11" t="n">
        <f aca="false">IF(DAY(A133)=1,Inputs!$B$30*Inputs!$B$31/12,0)</f>
        <v>0</v>
      </c>
      <c r="L133" s="11" t="n">
        <f aca="false">IF(DAY(A133)=20,Inputs!$B$25*SUMIFS($G$2:$G$176,$C$2:$C$176,E133),0)</f>
        <v>0</v>
      </c>
    </row>
    <row r="134" customFormat="false" ht="15" hidden="false" customHeight="false" outlineLevel="0" collapsed="false">
      <c r="A134" s="29" t="n">
        <v>46369</v>
      </c>
      <c r="B134" s="30" t="n">
        <f aca="false">INT((A134-Inputs!$B$5)/7)</f>
        <v>6</v>
      </c>
      <c r="C134" s="30" t="n">
        <f aca="false">YEAR(A134)*100+MONTH(A134)</f>
        <v>202612</v>
      </c>
      <c r="D134" s="20" t="n">
        <f aca="false">IF(AND(A134&gt;=Inputs!$B$33,A134&lt;=Inputs!$B$34),INDEX(Inputs!$B$38:$B$49,11)*30*Inputs!$B$35/7,IF(MONTH(A134)=11,INDEX(Inputs!$B$38:$B$49,11)*30*(1-Inputs!$B$35)/23,INDEX(Inputs!$B$38:$B$49,MONTH(A134))))</f>
        <v>1.6</v>
      </c>
      <c r="E134" s="30" t="n">
        <f aca="false">IF(MONTH(A134)=1,(YEAR(A134)-1)*100+12,YEAR(A134)*100+MONTH(A134)-1)</f>
        <v>202611</v>
      </c>
      <c r="F134" s="20" t="n">
        <f aca="false">D134/SUMIFS($D$2:$D$176,$B$2:$B$176,B134)</f>
        <v>0.142857142857143</v>
      </c>
      <c r="G134" s="11" t="n">
        <f aca="false">INDEX(Forecast!$B$8:$Z$8,1,(B134)+13)*F134</f>
        <v>28701.3391466833</v>
      </c>
      <c r="H134" s="11" t="n">
        <f aca="false">IF(B134&gt;=0,(INDEX(Forecast!$B$8:$Z$8,1,(B134)+13)*Inputs!$B$20+Inputs!$B$22)/7,IF(C134=202610,(Inputs!$B$21+Inputs!$B$22)/7,0))</f>
        <v>6643.96494194065</v>
      </c>
      <c r="I134" s="11" t="n">
        <f aca="false">IF(DAY(A134)=22,SUMIFS($H$2:$H$176,$C$2:$C$176,E134),0)</f>
        <v>0</v>
      </c>
      <c r="J134" s="11" t="n">
        <f aca="false">IF(DAY(A134)=1,Inputs!$B$24,0)</f>
        <v>0</v>
      </c>
      <c r="K134" s="11" t="n">
        <f aca="false">IF(DAY(A134)=1,Inputs!$B$30*Inputs!$B$31/12,0)</f>
        <v>0</v>
      </c>
      <c r="L134" s="11" t="n">
        <f aca="false">IF(DAY(A134)=20,Inputs!$B$25*SUMIFS($G$2:$G$176,$C$2:$C$176,E134),0)</f>
        <v>0</v>
      </c>
    </row>
    <row r="135" customFormat="false" ht="15" hidden="false" customHeight="false" outlineLevel="0" collapsed="false">
      <c r="A135" s="29" t="n">
        <v>46370</v>
      </c>
      <c r="B135" s="30" t="n">
        <f aca="false">INT((A135-Inputs!$B$5)/7)</f>
        <v>7</v>
      </c>
      <c r="C135" s="30" t="n">
        <f aca="false">YEAR(A135)*100+MONTH(A135)</f>
        <v>202612</v>
      </c>
      <c r="D135" s="20" t="n">
        <f aca="false">IF(AND(A135&gt;=Inputs!$B$33,A135&lt;=Inputs!$B$34),INDEX(Inputs!$B$38:$B$49,11)*30*Inputs!$B$35/7,IF(MONTH(A135)=11,INDEX(Inputs!$B$38:$B$49,11)*30*(1-Inputs!$B$35)/23,INDEX(Inputs!$B$38:$B$49,MONTH(A135))))</f>
        <v>1.6</v>
      </c>
      <c r="E135" s="30" t="n">
        <f aca="false">IF(MONTH(A135)=1,(YEAR(A135)-1)*100+12,YEAR(A135)*100+MONTH(A135)-1)</f>
        <v>202611</v>
      </c>
      <c r="F135" s="20" t="n">
        <f aca="false">D135/SUMIFS($D$2:$D$176,$B$2:$B$176,B135)</f>
        <v>0.142857142857143</v>
      </c>
      <c r="G135" s="11" t="n">
        <f aca="false">INDEX(Forecast!$B$8:$Z$8,1,(B135)+13)*F135</f>
        <v>28701.3391466833</v>
      </c>
      <c r="H135" s="11" t="n">
        <f aca="false">IF(B135&gt;=0,(INDEX(Forecast!$B$8:$Z$8,1,(B135)+13)*Inputs!$B$20+Inputs!$B$22)/7,IF(C135=202610,(Inputs!$B$21+Inputs!$B$22)/7,0))</f>
        <v>6643.96494194065</v>
      </c>
      <c r="I135" s="11" t="n">
        <f aca="false">IF(DAY(A135)=22,SUMIFS($H$2:$H$176,$C$2:$C$176,E135),0)</f>
        <v>0</v>
      </c>
      <c r="J135" s="11" t="n">
        <f aca="false">IF(DAY(A135)=1,Inputs!$B$24,0)</f>
        <v>0</v>
      </c>
      <c r="K135" s="11" t="n">
        <f aca="false">IF(DAY(A135)=1,Inputs!$B$30*Inputs!$B$31/12,0)</f>
        <v>0</v>
      </c>
      <c r="L135" s="11" t="n">
        <f aca="false">IF(DAY(A135)=20,Inputs!$B$25*SUMIFS($G$2:$G$176,$C$2:$C$176,E135),0)</f>
        <v>0</v>
      </c>
    </row>
    <row r="136" customFormat="false" ht="15" hidden="false" customHeight="false" outlineLevel="0" collapsed="false">
      <c r="A136" s="29" t="n">
        <v>46371</v>
      </c>
      <c r="B136" s="30" t="n">
        <f aca="false">INT((A136-Inputs!$B$5)/7)</f>
        <v>7</v>
      </c>
      <c r="C136" s="30" t="n">
        <f aca="false">YEAR(A136)*100+MONTH(A136)</f>
        <v>202612</v>
      </c>
      <c r="D136" s="20" t="n">
        <f aca="false">IF(AND(A136&gt;=Inputs!$B$33,A136&lt;=Inputs!$B$34),INDEX(Inputs!$B$38:$B$49,11)*30*Inputs!$B$35/7,IF(MONTH(A136)=11,INDEX(Inputs!$B$38:$B$49,11)*30*(1-Inputs!$B$35)/23,INDEX(Inputs!$B$38:$B$49,MONTH(A136))))</f>
        <v>1.6</v>
      </c>
      <c r="E136" s="30" t="n">
        <f aca="false">IF(MONTH(A136)=1,(YEAR(A136)-1)*100+12,YEAR(A136)*100+MONTH(A136)-1)</f>
        <v>202611</v>
      </c>
      <c r="F136" s="20" t="n">
        <f aca="false">D136/SUMIFS($D$2:$D$176,$B$2:$B$176,B136)</f>
        <v>0.142857142857143</v>
      </c>
      <c r="G136" s="11" t="n">
        <f aca="false">INDEX(Forecast!$B$8:$Z$8,1,(B136)+13)*F136</f>
        <v>28701.3391466833</v>
      </c>
      <c r="H136" s="11" t="n">
        <f aca="false">IF(B136&gt;=0,(INDEX(Forecast!$B$8:$Z$8,1,(B136)+13)*Inputs!$B$20+Inputs!$B$22)/7,IF(C136=202610,(Inputs!$B$21+Inputs!$B$22)/7,0))</f>
        <v>6643.96494194065</v>
      </c>
      <c r="I136" s="11" t="n">
        <f aca="false">IF(DAY(A136)=22,SUMIFS($H$2:$H$176,$C$2:$C$176,E136),0)</f>
        <v>0</v>
      </c>
      <c r="J136" s="11" t="n">
        <f aca="false">IF(DAY(A136)=1,Inputs!$B$24,0)</f>
        <v>0</v>
      </c>
      <c r="K136" s="11" t="n">
        <f aca="false">IF(DAY(A136)=1,Inputs!$B$30*Inputs!$B$31/12,0)</f>
        <v>0</v>
      </c>
      <c r="L136" s="11" t="n">
        <f aca="false">IF(DAY(A136)=20,Inputs!$B$25*SUMIFS($G$2:$G$176,$C$2:$C$176,E136),0)</f>
        <v>0</v>
      </c>
    </row>
    <row r="137" customFormat="false" ht="15" hidden="false" customHeight="false" outlineLevel="0" collapsed="false">
      <c r="A137" s="29" t="n">
        <v>46372</v>
      </c>
      <c r="B137" s="30" t="n">
        <f aca="false">INT((A137-Inputs!$B$5)/7)</f>
        <v>7</v>
      </c>
      <c r="C137" s="30" t="n">
        <f aca="false">YEAR(A137)*100+MONTH(A137)</f>
        <v>202612</v>
      </c>
      <c r="D137" s="20" t="n">
        <f aca="false">IF(AND(A137&gt;=Inputs!$B$33,A137&lt;=Inputs!$B$34),INDEX(Inputs!$B$38:$B$49,11)*30*Inputs!$B$35/7,IF(MONTH(A137)=11,INDEX(Inputs!$B$38:$B$49,11)*30*(1-Inputs!$B$35)/23,INDEX(Inputs!$B$38:$B$49,MONTH(A137))))</f>
        <v>1.6</v>
      </c>
      <c r="E137" s="30" t="n">
        <f aca="false">IF(MONTH(A137)=1,(YEAR(A137)-1)*100+12,YEAR(A137)*100+MONTH(A137)-1)</f>
        <v>202611</v>
      </c>
      <c r="F137" s="20" t="n">
        <f aca="false">D137/SUMIFS($D$2:$D$176,$B$2:$B$176,B137)</f>
        <v>0.142857142857143</v>
      </c>
      <c r="G137" s="11" t="n">
        <f aca="false">INDEX(Forecast!$B$8:$Z$8,1,(B137)+13)*F137</f>
        <v>28701.3391466833</v>
      </c>
      <c r="H137" s="11" t="n">
        <f aca="false">IF(B137&gt;=0,(INDEX(Forecast!$B$8:$Z$8,1,(B137)+13)*Inputs!$B$20+Inputs!$B$22)/7,IF(C137=202610,(Inputs!$B$21+Inputs!$B$22)/7,0))</f>
        <v>6643.96494194065</v>
      </c>
      <c r="I137" s="11" t="n">
        <f aca="false">IF(DAY(A137)=22,SUMIFS($H$2:$H$176,$C$2:$C$176,E137),0)</f>
        <v>0</v>
      </c>
      <c r="J137" s="11" t="n">
        <f aca="false">IF(DAY(A137)=1,Inputs!$B$24,0)</f>
        <v>0</v>
      </c>
      <c r="K137" s="11" t="n">
        <f aca="false">IF(DAY(A137)=1,Inputs!$B$30*Inputs!$B$31/12,0)</f>
        <v>0</v>
      </c>
      <c r="L137" s="11" t="n">
        <f aca="false">IF(DAY(A137)=20,Inputs!$B$25*SUMIFS($G$2:$G$176,$C$2:$C$176,E137),0)</f>
        <v>0</v>
      </c>
    </row>
    <row r="138" customFormat="false" ht="15" hidden="false" customHeight="false" outlineLevel="0" collapsed="false">
      <c r="A138" s="29" t="n">
        <v>46373</v>
      </c>
      <c r="B138" s="30" t="n">
        <f aca="false">INT((A138-Inputs!$B$5)/7)</f>
        <v>7</v>
      </c>
      <c r="C138" s="30" t="n">
        <f aca="false">YEAR(A138)*100+MONTH(A138)</f>
        <v>202612</v>
      </c>
      <c r="D138" s="20" t="n">
        <f aca="false">IF(AND(A138&gt;=Inputs!$B$33,A138&lt;=Inputs!$B$34),INDEX(Inputs!$B$38:$B$49,11)*30*Inputs!$B$35/7,IF(MONTH(A138)=11,INDEX(Inputs!$B$38:$B$49,11)*30*(1-Inputs!$B$35)/23,INDEX(Inputs!$B$38:$B$49,MONTH(A138))))</f>
        <v>1.6</v>
      </c>
      <c r="E138" s="30" t="n">
        <f aca="false">IF(MONTH(A138)=1,(YEAR(A138)-1)*100+12,YEAR(A138)*100+MONTH(A138)-1)</f>
        <v>202611</v>
      </c>
      <c r="F138" s="20" t="n">
        <f aca="false">D138/SUMIFS($D$2:$D$176,$B$2:$B$176,B138)</f>
        <v>0.142857142857143</v>
      </c>
      <c r="G138" s="11" t="n">
        <f aca="false">INDEX(Forecast!$B$8:$Z$8,1,(B138)+13)*F138</f>
        <v>28701.3391466833</v>
      </c>
      <c r="H138" s="11" t="n">
        <f aca="false">IF(B138&gt;=0,(INDEX(Forecast!$B$8:$Z$8,1,(B138)+13)*Inputs!$B$20+Inputs!$B$22)/7,IF(C138=202610,(Inputs!$B$21+Inputs!$B$22)/7,0))</f>
        <v>6643.96494194065</v>
      </c>
      <c r="I138" s="11" t="n">
        <f aca="false">IF(DAY(A138)=22,SUMIFS($H$2:$H$176,$C$2:$C$176,E138),0)</f>
        <v>0</v>
      </c>
      <c r="J138" s="11" t="n">
        <f aca="false">IF(DAY(A138)=1,Inputs!$B$24,0)</f>
        <v>0</v>
      </c>
      <c r="K138" s="11" t="n">
        <f aca="false">IF(DAY(A138)=1,Inputs!$B$30*Inputs!$B$31/12,0)</f>
        <v>0</v>
      </c>
      <c r="L138" s="11" t="n">
        <f aca="false">IF(DAY(A138)=20,Inputs!$B$25*SUMIFS($G$2:$G$176,$C$2:$C$176,E138),0)</f>
        <v>0</v>
      </c>
    </row>
    <row r="139" customFormat="false" ht="15" hidden="false" customHeight="false" outlineLevel="0" collapsed="false">
      <c r="A139" s="29" t="n">
        <v>46374</v>
      </c>
      <c r="B139" s="30" t="n">
        <f aca="false">INT((A139-Inputs!$B$5)/7)</f>
        <v>7</v>
      </c>
      <c r="C139" s="30" t="n">
        <f aca="false">YEAR(A139)*100+MONTH(A139)</f>
        <v>202612</v>
      </c>
      <c r="D139" s="20" t="n">
        <f aca="false">IF(AND(A139&gt;=Inputs!$B$33,A139&lt;=Inputs!$B$34),INDEX(Inputs!$B$38:$B$49,11)*30*Inputs!$B$35/7,IF(MONTH(A139)=11,INDEX(Inputs!$B$38:$B$49,11)*30*(1-Inputs!$B$35)/23,INDEX(Inputs!$B$38:$B$49,MONTH(A139))))</f>
        <v>1.6</v>
      </c>
      <c r="E139" s="30" t="n">
        <f aca="false">IF(MONTH(A139)=1,(YEAR(A139)-1)*100+12,YEAR(A139)*100+MONTH(A139)-1)</f>
        <v>202611</v>
      </c>
      <c r="F139" s="20" t="n">
        <f aca="false">D139/SUMIFS($D$2:$D$176,$B$2:$B$176,B139)</f>
        <v>0.142857142857143</v>
      </c>
      <c r="G139" s="11" t="n">
        <f aca="false">INDEX(Forecast!$B$8:$Z$8,1,(B139)+13)*F139</f>
        <v>28701.3391466833</v>
      </c>
      <c r="H139" s="11" t="n">
        <f aca="false">IF(B139&gt;=0,(INDEX(Forecast!$B$8:$Z$8,1,(B139)+13)*Inputs!$B$20+Inputs!$B$22)/7,IF(C139=202610,(Inputs!$B$21+Inputs!$B$22)/7,0))</f>
        <v>6643.96494194065</v>
      </c>
      <c r="I139" s="11" t="n">
        <f aca="false">IF(DAY(A139)=22,SUMIFS($H$2:$H$176,$C$2:$C$176,E139),0)</f>
        <v>0</v>
      </c>
      <c r="J139" s="11" t="n">
        <f aca="false">IF(DAY(A139)=1,Inputs!$B$24,0)</f>
        <v>0</v>
      </c>
      <c r="K139" s="11" t="n">
        <f aca="false">IF(DAY(A139)=1,Inputs!$B$30*Inputs!$B$31/12,0)</f>
        <v>0</v>
      </c>
      <c r="L139" s="11" t="n">
        <f aca="false">IF(DAY(A139)=20,Inputs!$B$25*SUMIFS($G$2:$G$176,$C$2:$C$176,E139),0)</f>
        <v>0</v>
      </c>
    </row>
    <row r="140" customFormat="false" ht="15" hidden="false" customHeight="false" outlineLevel="0" collapsed="false">
      <c r="A140" s="29" t="n">
        <v>46375</v>
      </c>
      <c r="B140" s="30" t="n">
        <f aca="false">INT((A140-Inputs!$B$5)/7)</f>
        <v>7</v>
      </c>
      <c r="C140" s="30" t="n">
        <f aca="false">YEAR(A140)*100+MONTH(A140)</f>
        <v>202612</v>
      </c>
      <c r="D140" s="20" t="n">
        <f aca="false">IF(AND(A140&gt;=Inputs!$B$33,A140&lt;=Inputs!$B$34),INDEX(Inputs!$B$38:$B$49,11)*30*Inputs!$B$35/7,IF(MONTH(A140)=11,INDEX(Inputs!$B$38:$B$49,11)*30*(1-Inputs!$B$35)/23,INDEX(Inputs!$B$38:$B$49,MONTH(A140))))</f>
        <v>1.6</v>
      </c>
      <c r="E140" s="30" t="n">
        <f aca="false">IF(MONTH(A140)=1,(YEAR(A140)-1)*100+12,YEAR(A140)*100+MONTH(A140)-1)</f>
        <v>202611</v>
      </c>
      <c r="F140" s="20" t="n">
        <f aca="false">D140/SUMIFS($D$2:$D$176,$B$2:$B$176,B140)</f>
        <v>0.142857142857143</v>
      </c>
      <c r="G140" s="11" t="n">
        <f aca="false">INDEX(Forecast!$B$8:$Z$8,1,(B140)+13)*F140</f>
        <v>28701.3391466833</v>
      </c>
      <c r="H140" s="11" t="n">
        <f aca="false">IF(B140&gt;=0,(INDEX(Forecast!$B$8:$Z$8,1,(B140)+13)*Inputs!$B$20+Inputs!$B$22)/7,IF(C140=202610,(Inputs!$B$21+Inputs!$B$22)/7,0))</f>
        <v>6643.96494194065</v>
      </c>
      <c r="I140" s="11" t="n">
        <f aca="false">IF(DAY(A140)=22,SUMIFS($H$2:$H$176,$C$2:$C$176,E140),0)</f>
        <v>0</v>
      </c>
      <c r="J140" s="11" t="n">
        <f aca="false">IF(DAY(A140)=1,Inputs!$B$24,0)</f>
        <v>0</v>
      </c>
      <c r="K140" s="11" t="n">
        <f aca="false">IF(DAY(A140)=1,Inputs!$B$30*Inputs!$B$31/12,0)</f>
        <v>0</v>
      </c>
      <c r="L140" s="11" t="n">
        <f aca="false">IF(DAY(A140)=20,Inputs!$B$25*SUMIFS($G$2:$G$176,$C$2:$C$176,E140),0)</f>
        <v>0</v>
      </c>
    </row>
    <row r="141" customFormat="false" ht="15" hidden="false" customHeight="false" outlineLevel="0" collapsed="false">
      <c r="A141" s="29" t="n">
        <v>46376</v>
      </c>
      <c r="B141" s="30" t="n">
        <f aca="false">INT((A141-Inputs!$B$5)/7)</f>
        <v>7</v>
      </c>
      <c r="C141" s="30" t="n">
        <f aca="false">YEAR(A141)*100+MONTH(A141)</f>
        <v>202612</v>
      </c>
      <c r="D141" s="20" t="n">
        <f aca="false">IF(AND(A141&gt;=Inputs!$B$33,A141&lt;=Inputs!$B$34),INDEX(Inputs!$B$38:$B$49,11)*30*Inputs!$B$35/7,IF(MONTH(A141)=11,INDEX(Inputs!$B$38:$B$49,11)*30*(1-Inputs!$B$35)/23,INDEX(Inputs!$B$38:$B$49,MONTH(A141))))</f>
        <v>1.6</v>
      </c>
      <c r="E141" s="30" t="n">
        <f aca="false">IF(MONTH(A141)=1,(YEAR(A141)-1)*100+12,YEAR(A141)*100+MONTH(A141)-1)</f>
        <v>202611</v>
      </c>
      <c r="F141" s="20" t="n">
        <f aca="false">D141/SUMIFS($D$2:$D$176,$B$2:$B$176,B141)</f>
        <v>0.142857142857143</v>
      </c>
      <c r="G141" s="11" t="n">
        <f aca="false">INDEX(Forecast!$B$8:$Z$8,1,(B141)+13)*F141</f>
        <v>28701.3391466833</v>
      </c>
      <c r="H141" s="11" t="n">
        <f aca="false">IF(B141&gt;=0,(INDEX(Forecast!$B$8:$Z$8,1,(B141)+13)*Inputs!$B$20+Inputs!$B$22)/7,IF(C141=202610,(Inputs!$B$21+Inputs!$B$22)/7,0))</f>
        <v>6643.96494194065</v>
      </c>
      <c r="I141" s="11" t="n">
        <f aca="false">IF(DAY(A141)=22,SUMIFS($H$2:$H$176,$C$2:$C$176,E141),0)</f>
        <v>0</v>
      </c>
      <c r="J141" s="11" t="n">
        <f aca="false">IF(DAY(A141)=1,Inputs!$B$24,0)</f>
        <v>0</v>
      </c>
      <c r="K141" s="11" t="n">
        <f aca="false">IF(DAY(A141)=1,Inputs!$B$30*Inputs!$B$31/12,0)</f>
        <v>0</v>
      </c>
      <c r="L141" s="11" t="n">
        <f aca="false">IF(DAY(A141)=20,Inputs!$B$25*SUMIFS($G$2:$G$176,$C$2:$C$176,E141),0)</f>
        <v>45204.6091560261</v>
      </c>
    </row>
    <row r="142" customFormat="false" ht="15" hidden="false" customHeight="false" outlineLevel="0" collapsed="false">
      <c r="A142" s="29" t="n">
        <v>46377</v>
      </c>
      <c r="B142" s="30" t="n">
        <f aca="false">INT((A142-Inputs!$B$5)/7)</f>
        <v>8</v>
      </c>
      <c r="C142" s="30" t="n">
        <f aca="false">YEAR(A142)*100+MONTH(A142)</f>
        <v>202612</v>
      </c>
      <c r="D142" s="20" t="n">
        <f aca="false">IF(AND(A142&gt;=Inputs!$B$33,A142&lt;=Inputs!$B$34),INDEX(Inputs!$B$38:$B$49,11)*30*Inputs!$B$35/7,IF(MONTH(A142)=11,INDEX(Inputs!$B$38:$B$49,11)*30*(1-Inputs!$B$35)/23,INDEX(Inputs!$B$38:$B$49,MONTH(A142))))</f>
        <v>1.6</v>
      </c>
      <c r="E142" s="30" t="n">
        <f aca="false">IF(MONTH(A142)=1,(YEAR(A142)-1)*100+12,YEAR(A142)*100+MONTH(A142)-1)</f>
        <v>202611</v>
      </c>
      <c r="F142" s="20" t="n">
        <f aca="false">D142/SUMIFS($D$2:$D$176,$B$2:$B$176,B142)</f>
        <v>0.142857142857143</v>
      </c>
      <c r="G142" s="11" t="n">
        <f aca="false">INDEX(Forecast!$B$8:$Z$8,1,(B142)+13)*F142</f>
        <v>28701.3391466833</v>
      </c>
      <c r="H142" s="11" t="n">
        <f aca="false">IF(B142&gt;=0,(INDEX(Forecast!$B$8:$Z$8,1,(B142)+13)*Inputs!$B$20+Inputs!$B$22)/7,IF(C142=202610,(Inputs!$B$21+Inputs!$B$22)/7,0))</f>
        <v>6643.96494194065</v>
      </c>
      <c r="I142" s="11" t="n">
        <f aca="false">IF(DAY(A142)=22,SUMIFS($H$2:$H$176,$C$2:$C$176,E142),0)</f>
        <v>0</v>
      </c>
      <c r="J142" s="11" t="n">
        <f aca="false">IF(DAY(A142)=1,Inputs!$B$24,0)</f>
        <v>0</v>
      </c>
      <c r="K142" s="11" t="n">
        <f aca="false">IF(DAY(A142)=1,Inputs!$B$30*Inputs!$B$31/12,0)</f>
        <v>0</v>
      </c>
      <c r="L142" s="11" t="n">
        <f aca="false">IF(DAY(A142)=20,Inputs!$B$25*SUMIFS($G$2:$G$176,$C$2:$C$176,E142),0)</f>
        <v>0</v>
      </c>
    </row>
    <row r="143" customFormat="false" ht="15" hidden="false" customHeight="false" outlineLevel="0" collapsed="false">
      <c r="A143" s="29" t="n">
        <v>46378</v>
      </c>
      <c r="B143" s="30" t="n">
        <f aca="false">INT((A143-Inputs!$B$5)/7)</f>
        <v>8</v>
      </c>
      <c r="C143" s="30" t="n">
        <f aca="false">YEAR(A143)*100+MONTH(A143)</f>
        <v>202612</v>
      </c>
      <c r="D143" s="20" t="n">
        <f aca="false">IF(AND(A143&gt;=Inputs!$B$33,A143&lt;=Inputs!$B$34),INDEX(Inputs!$B$38:$B$49,11)*30*Inputs!$B$35/7,IF(MONTH(A143)=11,INDEX(Inputs!$B$38:$B$49,11)*30*(1-Inputs!$B$35)/23,INDEX(Inputs!$B$38:$B$49,MONTH(A143))))</f>
        <v>1.6</v>
      </c>
      <c r="E143" s="30" t="n">
        <f aca="false">IF(MONTH(A143)=1,(YEAR(A143)-1)*100+12,YEAR(A143)*100+MONTH(A143)-1)</f>
        <v>202611</v>
      </c>
      <c r="F143" s="20" t="n">
        <f aca="false">D143/SUMIFS($D$2:$D$176,$B$2:$B$176,B143)</f>
        <v>0.142857142857143</v>
      </c>
      <c r="G143" s="11" t="n">
        <f aca="false">INDEX(Forecast!$B$8:$Z$8,1,(B143)+13)*F143</f>
        <v>28701.3391466833</v>
      </c>
      <c r="H143" s="11" t="n">
        <f aca="false">IF(B143&gt;=0,(INDEX(Forecast!$B$8:$Z$8,1,(B143)+13)*Inputs!$B$20+Inputs!$B$22)/7,IF(C143=202610,(Inputs!$B$21+Inputs!$B$22)/7,0))</f>
        <v>6643.96494194065</v>
      </c>
      <c r="I143" s="11" t="n">
        <f aca="false">IF(DAY(A143)=22,SUMIFS($H$2:$H$176,$C$2:$C$176,E143),0)</f>
        <v>256191.721392496</v>
      </c>
      <c r="J143" s="11" t="n">
        <f aca="false">IF(DAY(A143)=1,Inputs!$B$24,0)</f>
        <v>0</v>
      </c>
      <c r="K143" s="11" t="n">
        <f aca="false">IF(DAY(A143)=1,Inputs!$B$30*Inputs!$B$31/12,0)</f>
        <v>0</v>
      </c>
      <c r="L143" s="11" t="n">
        <f aca="false">IF(DAY(A143)=20,Inputs!$B$25*SUMIFS($G$2:$G$176,$C$2:$C$176,E143),0)</f>
        <v>0</v>
      </c>
    </row>
    <row r="144" customFormat="false" ht="15" hidden="false" customHeight="false" outlineLevel="0" collapsed="false">
      <c r="A144" s="29" t="n">
        <v>46379</v>
      </c>
      <c r="B144" s="30" t="n">
        <f aca="false">INT((A144-Inputs!$B$5)/7)</f>
        <v>8</v>
      </c>
      <c r="C144" s="30" t="n">
        <f aca="false">YEAR(A144)*100+MONTH(A144)</f>
        <v>202612</v>
      </c>
      <c r="D144" s="20" t="n">
        <f aca="false">IF(AND(A144&gt;=Inputs!$B$33,A144&lt;=Inputs!$B$34),INDEX(Inputs!$B$38:$B$49,11)*30*Inputs!$B$35/7,IF(MONTH(A144)=11,INDEX(Inputs!$B$38:$B$49,11)*30*(1-Inputs!$B$35)/23,INDEX(Inputs!$B$38:$B$49,MONTH(A144))))</f>
        <v>1.6</v>
      </c>
      <c r="E144" s="30" t="n">
        <f aca="false">IF(MONTH(A144)=1,(YEAR(A144)-1)*100+12,YEAR(A144)*100+MONTH(A144)-1)</f>
        <v>202611</v>
      </c>
      <c r="F144" s="20" t="n">
        <f aca="false">D144/SUMIFS($D$2:$D$176,$B$2:$B$176,B144)</f>
        <v>0.142857142857143</v>
      </c>
      <c r="G144" s="11" t="n">
        <f aca="false">INDEX(Forecast!$B$8:$Z$8,1,(B144)+13)*F144</f>
        <v>28701.3391466833</v>
      </c>
      <c r="H144" s="11" t="n">
        <f aca="false">IF(B144&gt;=0,(INDEX(Forecast!$B$8:$Z$8,1,(B144)+13)*Inputs!$B$20+Inputs!$B$22)/7,IF(C144=202610,(Inputs!$B$21+Inputs!$B$22)/7,0))</f>
        <v>6643.96494194065</v>
      </c>
      <c r="I144" s="11" t="n">
        <f aca="false">IF(DAY(A144)=22,SUMIFS($H$2:$H$176,$C$2:$C$176,E144),0)</f>
        <v>0</v>
      </c>
      <c r="J144" s="11" t="n">
        <f aca="false">IF(DAY(A144)=1,Inputs!$B$24,0)</f>
        <v>0</v>
      </c>
      <c r="K144" s="11" t="n">
        <f aca="false">IF(DAY(A144)=1,Inputs!$B$30*Inputs!$B$31/12,0)</f>
        <v>0</v>
      </c>
      <c r="L144" s="11" t="n">
        <f aca="false">IF(DAY(A144)=20,Inputs!$B$25*SUMIFS($G$2:$G$176,$C$2:$C$176,E144),0)</f>
        <v>0</v>
      </c>
    </row>
    <row r="145" customFormat="false" ht="15" hidden="false" customHeight="false" outlineLevel="0" collapsed="false">
      <c r="A145" s="29" t="n">
        <v>46380</v>
      </c>
      <c r="B145" s="30" t="n">
        <f aca="false">INT((A145-Inputs!$B$5)/7)</f>
        <v>8</v>
      </c>
      <c r="C145" s="30" t="n">
        <f aca="false">YEAR(A145)*100+MONTH(A145)</f>
        <v>202612</v>
      </c>
      <c r="D145" s="20" t="n">
        <f aca="false">IF(AND(A145&gt;=Inputs!$B$33,A145&lt;=Inputs!$B$34),INDEX(Inputs!$B$38:$B$49,11)*30*Inputs!$B$35/7,IF(MONTH(A145)=11,INDEX(Inputs!$B$38:$B$49,11)*30*(1-Inputs!$B$35)/23,INDEX(Inputs!$B$38:$B$49,MONTH(A145))))</f>
        <v>1.6</v>
      </c>
      <c r="E145" s="30" t="n">
        <f aca="false">IF(MONTH(A145)=1,(YEAR(A145)-1)*100+12,YEAR(A145)*100+MONTH(A145)-1)</f>
        <v>202611</v>
      </c>
      <c r="F145" s="20" t="n">
        <f aca="false">D145/SUMIFS($D$2:$D$176,$B$2:$B$176,B145)</f>
        <v>0.142857142857143</v>
      </c>
      <c r="G145" s="11" t="n">
        <f aca="false">INDEX(Forecast!$B$8:$Z$8,1,(B145)+13)*F145</f>
        <v>28701.3391466833</v>
      </c>
      <c r="H145" s="11" t="n">
        <f aca="false">IF(B145&gt;=0,(INDEX(Forecast!$B$8:$Z$8,1,(B145)+13)*Inputs!$B$20+Inputs!$B$22)/7,IF(C145=202610,(Inputs!$B$21+Inputs!$B$22)/7,0))</f>
        <v>6643.96494194065</v>
      </c>
      <c r="I145" s="11" t="n">
        <f aca="false">IF(DAY(A145)=22,SUMIFS($H$2:$H$176,$C$2:$C$176,E145),0)</f>
        <v>0</v>
      </c>
      <c r="J145" s="11" t="n">
        <f aca="false">IF(DAY(A145)=1,Inputs!$B$24,0)</f>
        <v>0</v>
      </c>
      <c r="K145" s="11" t="n">
        <f aca="false">IF(DAY(A145)=1,Inputs!$B$30*Inputs!$B$31/12,0)</f>
        <v>0</v>
      </c>
      <c r="L145" s="11" t="n">
        <f aca="false">IF(DAY(A145)=20,Inputs!$B$25*SUMIFS($G$2:$G$176,$C$2:$C$176,E145),0)</f>
        <v>0</v>
      </c>
    </row>
    <row r="146" customFormat="false" ht="15" hidden="false" customHeight="false" outlineLevel="0" collapsed="false">
      <c r="A146" s="29" t="n">
        <v>46381</v>
      </c>
      <c r="B146" s="30" t="n">
        <f aca="false">INT((A146-Inputs!$B$5)/7)</f>
        <v>8</v>
      </c>
      <c r="C146" s="30" t="n">
        <f aca="false">YEAR(A146)*100+MONTH(A146)</f>
        <v>202612</v>
      </c>
      <c r="D146" s="20" t="n">
        <f aca="false">IF(AND(A146&gt;=Inputs!$B$33,A146&lt;=Inputs!$B$34),INDEX(Inputs!$B$38:$B$49,11)*30*Inputs!$B$35/7,IF(MONTH(A146)=11,INDEX(Inputs!$B$38:$B$49,11)*30*(1-Inputs!$B$35)/23,INDEX(Inputs!$B$38:$B$49,MONTH(A146))))</f>
        <v>1.6</v>
      </c>
      <c r="E146" s="30" t="n">
        <f aca="false">IF(MONTH(A146)=1,(YEAR(A146)-1)*100+12,YEAR(A146)*100+MONTH(A146)-1)</f>
        <v>202611</v>
      </c>
      <c r="F146" s="20" t="n">
        <f aca="false">D146/SUMIFS($D$2:$D$176,$B$2:$B$176,B146)</f>
        <v>0.142857142857143</v>
      </c>
      <c r="G146" s="11" t="n">
        <f aca="false">INDEX(Forecast!$B$8:$Z$8,1,(B146)+13)*F146</f>
        <v>28701.3391466833</v>
      </c>
      <c r="H146" s="11" t="n">
        <f aca="false">IF(B146&gt;=0,(INDEX(Forecast!$B$8:$Z$8,1,(B146)+13)*Inputs!$B$20+Inputs!$B$22)/7,IF(C146=202610,(Inputs!$B$21+Inputs!$B$22)/7,0))</f>
        <v>6643.96494194065</v>
      </c>
      <c r="I146" s="11" t="n">
        <f aca="false">IF(DAY(A146)=22,SUMIFS($H$2:$H$176,$C$2:$C$176,E146),0)</f>
        <v>0</v>
      </c>
      <c r="J146" s="11" t="n">
        <f aca="false">IF(DAY(A146)=1,Inputs!$B$24,0)</f>
        <v>0</v>
      </c>
      <c r="K146" s="11" t="n">
        <f aca="false">IF(DAY(A146)=1,Inputs!$B$30*Inputs!$B$31/12,0)</f>
        <v>0</v>
      </c>
      <c r="L146" s="11" t="n">
        <f aca="false">IF(DAY(A146)=20,Inputs!$B$25*SUMIFS($G$2:$G$176,$C$2:$C$176,E146),0)</f>
        <v>0</v>
      </c>
    </row>
    <row r="147" customFormat="false" ht="15" hidden="false" customHeight="false" outlineLevel="0" collapsed="false">
      <c r="A147" s="29" t="n">
        <v>46382</v>
      </c>
      <c r="B147" s="30" t="n">
        <f aca="false">INT((A147-Inputs!$B$5)/7)</f>
        <v>8</v>
      </c>
      <c r="C147" s="30" t="n">
        <f aca="false">YEAR(A147)*100+MONTH(A147)</f>
        <v>202612</v>
      </c>
      <c r="D147" s="20" t="n">
        <f aca="false">IF(AND(A147&gt;=Inputs!$B$33,A147&lt;=Inputs!$B$34),INDEX(Inputs!$B$38:$B$49,11)*30*Inputs!$B$35/7,IF(MONTH(A147)=11,INDEX(Inputs!$B$38:$B$49,11)*30*(1-Inputs!$B$35)/23,INDEX(Inputs!$B$38:$B$49,MONTH(A147))))</f>
        <v>1.6</v>
      </c>
      <c r="E147" s="30" t="n">
        <f aca="false">IF(MONTH(A147)=1,(YEAR(A147)-1)*100+12,YEAR(A147)*100+MONTH(A147)-1)</f>
        <v>202611</v>
      </c>
      <c r="F147" s="20" t="n">
        <f aca="false">D147/SUMIFS($D$2:$D$176,$B$2:$B$176,B147)</f>
        <v>0.142857142857143</v>
      </c>
      <c r="G147" s="11" t="n">
        <f aca="false">INDEX(Forecast!$B$8:$Z$8,1,(B147)+13)*F147</f>
        <v>28701.3391466833</v>
      </c>
      <c r="H147" s="11" t="n">
        <f aca="false">IF(B147&gt;=0,(INDEX(Forecast!$B$8:$Z$8,1,(B147)+13)*Inputs!$B$20+Inputs!$B$22)/7,IF(C147=202610,(Inputs!$B$21+Inputs!$B$22)/7,0))</f>
        <v>6643.96494194065</v>
      </c>
      <c r="I147" s="11" t="n">
        <f aca="false">IF(DAY(A147)=22,SUMIFS($H$2:$H$176,$C$2:$C$176,E147),0)</f>
        <v>0</v>
      </c>
      <c r="J147" s="11" t="n">
        <f aca="false">IF(DAY(A147)=1,Inputs!$B$24,0)</f>
        <v>0</v>
      </c>
      <c r="K147" s="11" t="n">
        <f aca="false">IF(DAY(A147)=1,Inputs!$B$30*Inputs!$B$31/12,0)</f>
        <v>0</v>
      </c>
      <c r="L147" s="11" t="n">
        <f aca="false">IF(DAY(A147)=20,Inputs!$B$25*SUMIFS($G$2:$G$176,$C$2:$C$176,E147),0)</f>
        <v>0</v>
      </c>
    </row>
    <row r="148" customFormat="false" ht="15" hidden="false" customHeight="false" outlineLevel="0" collapsed="false">
      <c r="A148" s="29" t="n">
        <v>46383</v>
      </c>
      <c r="B148" s="30" t="n">
        <f aca="false">INT((A148-Inputs!$B$5)/7)</f>
        <v>8</v>
      </c>
      <c r="C148" s="30" t="n">
        <f aca="false">YEAR(A148)*100+MONTH(A148)</f>
        <v>202612</v>
      </c>
      <c r="D148" s="20" t="n">
        <f aca="false">IF(AND(A148&gt;=Inputs!$B$33,A148&lt;=Inputs!$B$34),INDEX(Inputs!$B$38:$B$49,11)*30*Inputs!$B$35/7,IF(MONTH(A148)=11,INDEX(Inputs!$B$38:$B$49,11)*30*(1-Inputs!$B$35)/23,INDEX(Inputs!$B$38:$B$49,MONTH(A148))))</f>
        <v>1.6</v>
      </c>
      <c r="E148" s="30" t="n">
        <f aca="false">IF(MONTH(A148)=1,(YEAR(A148)-1)*100+12,YEAR(A148)*100+MONTH(A148)-1)</f>
        <v>202611</v>
      </c>
      <c r="F148" s="20" t="n">
        <f aca="false">D148/SUMIFS($D$2:$D$176,$B$2:$B$176,B148)</f>
        <v>0.142857142857143</v>
      </c>
      <c r="G148" s="11" t="n">
        <f aca="false">INDEX(Forecast!$B$8:$Z$8,1,(B148)+13)*F148</f>
        <v>28701.3391466833</v>
      </c>
      <c r="H148" s="11" t="n">
        <f aca="false">IF(B148&gt;=0,(INDEX(Forecast!$B$8:$Z$8,1,(B148)+13)*Inputs!$B$20+Inputs!$B$22)/7,IF(C148=202610,(Inputs!$B$21+Inputs!$B$22)/7,0))</f>
        <v>6643.96494194065</v>
      </c>
      <c r="I148" s="11" t="n">
        <f aca="false">IF(DAY(A148)=22,SUMIFS($H$2:$H$176,$C$2:$C$176,E148),0)</f>
        <v>0</v>
      </c>
      <c r="J148" s="11" t="n">
        <f aca="false">IF(DAY(A148)=1,Inputs!$B$24,0)</f>
        <v>0</v>
      </c>
      <c r="K148" s="11" t="n">
        <f aca="false">IF(DAY(A148)=1,Inputs!$B$30*Inputs!$B$31/12,0)</f>
        <v>0</v>
      </c>
      <c r="L148" s="11" t="n">
        <f aca="false">IF(DAY(A148)=20,Inputs!$B$25*SUMIFS($G$2:$G$176,$C$2:$C$176,E148),0)</f>
        <v>0</v>
      </c>
    </row>
    <row r="149" customFormat="false" ht="15" hidden="false" customHeight="false" outlineLevel="0" collapsed="false">
      <c r="A149" s="29" t="n">
        <v>46384</v>
      </c>
      <c r="B149" s="30" t="n">
        <f aca="false">INT((A149-Inputs!$B$5)/7)</f>
        <v>9</v>
      </c>
      <c r="C149" s="30" t="n">
        <f aca="false">YEAR(A149)*100+MONTH(A149)</f>
        <v>202612</v>
      </c>
      <c r="D149" s="20" t="n">
        <f aca="false">IF(AND(A149&gt;=Inputs!$B$33,A149&lt;=Inputs!$B$34),INDEX(Inputs!$B$38:$B$49,11)*30*Inputs!$B$35/7,IF(MONTH(A149)=11,INDEX(Inputs!$B$38:$B$49,11)*30*(1-Inputs!$B$35)/23,INDEX(Inputs!$B$38:$B$49,MONTH(A149))))</f>
        <v>1.6</v>
      </c>
      <c r="E149" s="30" t="n">
        <f aca="false">IF(MONTH(A149)=1,(YEAR(A149)-1)*100+12,YEAR(A149)*100+MONTH(A149)-1)</f>
        <v>202611</v>
      </c>
      <c r="F149" s="20" t="n">
        <f aca="false">D149/SUMIFS($D$2:$D$176,$B$2:$B$176,B149)</f>
        <v>0.188235294117647</v>
      </c>
      <c r="G149" s="11" t="n">
        <f aca="false">INDEX(Forecast!$B$8:$Z$8,1,(B149)+13)*F149</f>
        <v>28701.3391466833</v>
      </c>
      <c r="H149" s="11" t="n">
        <f aca="false">IF(B149&gt;=0,(INDEX(Forecast!$B$8:$Z$8,1,(B149)+13)*Inputs!$B$20+Inputs!$B$22)/7,IF(C149=202610,(Inputs!$B$21+Inputs!$B$22)/7,0))</f>
        <v>5121.76891933977</v>
      </c>
      <c r="I149" s="11" t="n">
        <f aca="false">IF(DAY(A149)=22,SUMIFS($H$2:$H$176,$C$2:$C$176,E149),0)</f>
        <v>0</v>
      </c>
      <c r="J149" s="11" t="n">
        <f aca="false">IF(DAY(A149)=1,Inputs!$B$24,0)</f>
        <v>0</v>
      </c>
      <c r="K149" s="11" t="n">
        <f aca="false">IF(DAY(A149)=1,Inputs!$B$30*Inputs!$B$31/12,0)</f>
        <v>0</v>
      </c>
      <c r="L149" s="11" t="n">
        <f aca="false">IF(DAY(A149)=20,Inputs!$B$25*SUMIFS($G$2:$G$176,$C$2:$C$176,E149),0)</f>
        <v>0</v>
      </c>
    </row>
    <row r="150" customFormat="false" ht="15" hidden="false" customHeight="false" outlineLevel="0" collapsed="false">
      <c r="A150" s="29" t="n">
        <v>46385</v>
      </c>
      <c r="B150" s="30" t="n">
        <f aca="false">INT((A150-Inputs!$B$5)/7)</f>
        <v>9</v>
      </c>
      <c r="C150" s="30" t="n">
        <f aca="false">YEAR(A150)*100+MONTH(A150)</f>
        <v>202612</v>
      </c>
      <c r="D150" s="20" t="n">
        <f aca="false">IF(AND(A150&gt;=Inputs!$B$33,A150&lt;=Inputs!$B$34),INDEX(Inputs!$B$38:$B$49,11)*30*Inputs!$B$35/7,IF(MONTH(A150)=11,INDEX(Inputs!$B$38:$B$49,11)*30*(1-Inputs!$B$35)/23,INDEX(Inputs!$B$38:$B$49,MONTH(A150))))</f>
        <v>1.6</v>
      </c>
      <c r="E150" s="30" t="n">
        <f aca="false">IF(MONTH(A150)=1,(YEAR(A150)-1)*100+12,YEAR(A150)*100+MONTH(A150)-1)</f>
        <v>202611</v>
      </c>
      <c r="F150" s="20" t="n">
        <f aca="false">D150/SUMIFS($D$2:$D$176,$B$2:$B$176,B150)</f>
        <v>0.188235294117647</v>
      </c>
      <c r="G150" s="11" t="n">
        <f aca="false">INDEX(Forecast!$B$8:$Z$8,1,(B150)+13)*F150</f>
        <v>28701.3391466833</v>
      </c>
      <c r="H150" s="11" t="n">
        <f aca="false">IF(B150&gt;=0,(INDEX(Forecast!$B$8:$Z$8,1,(B150)+13)*Inputs!$B$20+Inputs!$B$22)/7,IF(C150=202610,(Inputs!$B$21+Inputs!$B$22)/7,0))</f>
        <v>5121.76891933977</v>
      </c>
      <c r="I150" s="11" t="n">
        <f aca="false">IF(DAY(A150)=22,SUMIFS($H$2:$H$176,$C$2:$C$176,E150),0)</f>
        <v>0</v>
      </c>
      <c r="J150" s="11" t="n">
        <f aca="false">IF(DAY(A150)=1,Inputs!$B$24,0)</f>
        <v>0</v>
      </c>
      <c r="K150" s="11" t="n">
        <f aca="false">IF(DAY(A150)=1,Inputs!$B$30*Inputs!$B$31/12,0)</f>
        <v>0</v>
      </c>
      <c r="L150" s="11" t="n">
        <f aca="false">IF(DAY(A150)=20,Inputs!$B$25*SUMIFS($G$2:$G$176,$C$2:$C$176,E150),0)</f>
        <v>0</v>
      </c>
    </row>
    <row r="151" customFormat="false" ht="15" hidden="false" customHeight="false" outlineLevel="0" collapsed="false">
      <c r="A151" s="29" t="n">
        <v>46386</v>
      </c>
      <c r="B151" s="30" t="n">
        <f aca="false">INT((A151-Inputs!$B$5)/7)</f>
        <v>9</v>
      </c>
      <c r="C151" s="30" t="n">
        <f aca="false">YEAR(A151)*100+MONTH(A151)</f>
        <v>202612</v>
      </c>
      <c r="D151" s="20" t="n">
        <f aca="false">IF(AND(A151&gt;=Inputs!$B$33,A151&lt;=Inputs!$B$34),INDEX(Inputs!$B$38:$B$49,11)*30*Inputs!$B$35/7,IF(MONTH(A151)=11,INDEX(Inputs!$B$38:$B$49,11)*30*(1-Inputs!$B$35)/23,INDEX(Inputs!$B$38:$B$49,MONTH(A151))))</f>
        <v>1.6</v>
      </c>
      <c r="E151" s="30" t="n">
        <f aca="false">IF(MONTH(A151)=1,(YEAR(A151)-1)*100+12,YEAR(A151)*100+MONTH(A151)-1)</f>
        <v>202611</v>
      </c>
      <c r="F151" s="20" t="n">
        <f aca="false">D151/SUMIFS($D$2:$D$176,$B$2:$B$176,B151)</f>
        <v>0.188235294117647</v>
      </c>
      <c r="G151" s="11" t="n">
        <f aca="false">INDEX(Forecast!$B$8:$Z$8,1,(B151)+13)*F151</f>
        <v>28701.3391466833</v>
      </c>
      <c r="H151" s="11" t="n">
        <f aca="false">IF(B151&gt;=0,(INDEX(Forecast!$B$8:$Z$8,1,(B151)+13)*Inputs!$B$20+Inputs!$B$22)/7,IF(C151=202610,(Inputs!$B$21+Inputs!$B$22)/7,0))</f>
        <v>5121.76891933977</v>
      </c>
      <c r="I151" s="11" t="n">
        <f aca="false">IF(DAY(A151)=22,SUMIFS($H$2:$H$176,$C$2:$C$176,E151),0)</f>
        <v>0</v>
      </c>
      <c r="J151" s="11" t="n">
        <f aca="false">IF(DAY(A151)=1,Inputs!$B$24,0)</f>
        <v>0</v>
      </c>
      <c r="K151" s="11" t="n">
        <f aca="false">IF(DAY(A151)=1,Inputs!$B$30*Inputs!$B$31/12,0)</f>
        <v>0</v>
      </c>
      <c r="L151" s="11" t="n">
        <f aca="false">IF(DAY(A151)=20,Inputs!$B$25*SUMIFS($G$2:$G$176,$C$2:$C$176,E151),0)</f>
        <v>0</v>
      </c>
    </row>
    <row r="152" customFormat="false" ht="15" hidden="false" customHeight="false" outlineLevel="0" collapsed="false">
      <c r="A152" s="29" t="n">
        <v>46387</v>
      </c>
      <c r="B152" s="30" t="n">
        <f aca="false">INT((A152-Inputs!$B$5)/7)</f>
        <v>9</v>
      </c>
      <c r="C152" s="30" t="n">
        <f aca="false">YEAR(A152)*100+MONTH(A152)</f>
        <v>202612</v>
      </c>
      <c r="D152" s="20" t="n">
        <f aca="false">IF(AND(A152&gt;=Inputs!$B$33,A152&lt;=Inputs!$B$34),INDEX(Inputs!$B$38:$B$49,11)*30*Inputs!$B$35/7,IF(MONTH(A152)=11,INDEX(Inputs!$B$38:$B$49,11)*30*(1-Inputs!$B$35)/23,INDEX(Inputs!$B$38:$B$49,MONTH(A152))))</f>
        <v>1.6</v>
      </c>
      <c r="E152" s="30" t="n">
        <f aca="false">IF(MONTH(A152)=1,(YEAR(A152)-1)*100+12,YEAR(A152)*100+MONTH(A152)-1)</f>
        <v>202611</v>
      </c>
      <c r="F152" s="20" t="n">
        <f aca="false">D152/SUMIFS($D$2:$D$176,$B$2:$B$176,B152)</f>
        <v>0.188235294117647</v>
      </c>
      <c r="G152" s="11" t="n">
        <f aca="false">INDEX(Forecast!$B$8:$Z$8,1,(B152)+13)*F152</f>
        <v>28701.3391466833</v>
      </c>
      <c r="H152" s="11" t="n">
        <f aca="false">IF(B152&gt;=0,(INDEX(Forecast!$B$8:$Z$8,1,(B152)+13)*Inputs!$B$20+Inputs!$B$22)/7,IF(C152=202610,(Inputs!$B$21+Inputs!$B$22)/7,0))</f>
        <v>5121.76891933977</v>
      </c>
      <c r="I152" s="11" t="n">
        <f aca="false">IF(DAY(A152)=22,SUMIFS($H$2:$H$176,$C$2:$C$176,E152),0)</f>
        <v>0</v>
      </c>
      <c r="J152" s="11" t="n">
        <f aca="false">IF(DAY(A152)=1,Inputs!$B$24,0)</f>
        <v>0</v>
      </c>
      <c r="K152" s="11" t="n">
        <f aca="false">IF(DAY(A152)=1,Inputs!$B$30*Inputs!$B$31/12,0)</f>
        <v>0</v>
      </c>
      <c r="L152" s="11" t="n">
        <f aca="false">IF(DAY(A152)=20,Inputs!$B$25*SUMIFS($G$2:$G$176,$C$2:$C$176,E152),0)</f>
        <v>0</v>
      </c>
    </row>
    <row r="153" customFormat="false" ht="15" hidden="false" customHeight="false" outlineLevel="0" collapsed="false">
      <c r="A153" s="29" t="n">
        <v>46388</v>
      </c>
      <c r="B153" s="30" t="n">
        <f aca="false">INT((A153-Inputs!$B$5)/7)</f>
        <v>9</v>
      </c>
      <c r="C153" s="30" t="n">
        <f aca="false">YEAR(A153)*100+MONTH(A153)</f>
        <v>202701</v>
      </c>
      <c r="D153" s="20" t="n">
        <f aca="false">IF(AND(A153&gt;=Inputs!$B$33,A153&lt;=Inputs!$B$34),INDEX(Inputs!$B$38:$B$49,11)*30*Inputs!$B$35/7,IF(MONTH(A153)=11,INDEX(Inputs!$B$38:$B$49,11)*30*(1-Inputs!$B$35)/23,INDEX(Inputs!$B$38:$B$49,MONTH(A153))))</f>
        <v>0.7</v>
      </c>
      <c r="E153" s="30" t="n">
        <f aca="false">IF(MONTH(A153)=1,(YEAR(A153)-1)*100+12,YEAR(A153)*100+MONTH(A153)-1)</f>
        <v>202612</v>
      </c>
      <c r="F153" s="20" t="n">
        <f aca="false">D153/SUMIFS($D$2:$D$176,$B$2:$B$176,B153)</f>
        <v>0.0823529411764706</v>
      </c>
      <c r="G153" s="11" t="n">
        <f aca="false">INDEX(Forecast!$B$8:$Z$8,1,(B153)+13)*F153</f>
        <v>12556.8358766739</v>
      </c>
      <c r="H153" s="11" t="n">
        <f aca="false">IF(B153&gt;=0,(INDEX(Forecast!$B$8:$Z$8,1,(B153)+13)*Inputs!$B$20+Inputs!$B$22)/7,IF(C153=202610,(Inputs!$B$21+Inputs!$B$22)/7,0))</f>
        <v>5121.76891933977</v>
      </c>
      <c r="I153" s="11" t="n">
        <f aca="false">IF(DAY(A153)=22,SUMIFS($H$2:$H$176,$C$2:$C$176,E153),0)</f>
        <v>0</v>
      </c>
      <c r="J153" s="11" t="n">
        <f aca="false">IF(DAY(A153)=1,Inputs!$B$24,0)</f>
        <v>24000</v>
      </c>
      <c r="K153" s="11" t="n">
        <f aca="false">IF(DAY(A153)=1,Inputs!$B$30*Inputs!$B$31/12,0)</f>
        <v>3666.66666666667</v>
      </c>
      <c r="L153" s="11" t="n">
        <f aca="false">IF(DAY(A153)=20,Inputs!$B$25*SUMIFS($G$2:$G$176,$C$2:$C$176,E153),0)</f>
        <v>0</v>
      </c>
    </row>
    <row r="154" customFormat="false" ht="15" hidden="false" customHeight="false" outlineLevel="0" collapsed="false">
      <c r="A154" s="29" t="n">
        <v>46389</v>
      </c>
      <c r="B154" s="30" t="n">
        <f aca="false">INT((A154-Inputs!$B$5)/7)</f>
        <v>9</v>
      </c>
      <c r="C154" s="30" t="n">
        <f aca="false">YEAR(A154)*100+MONTH(A154)</f>
        <v>202701</v>
      </c>
      <c r="D154" s="20" t="n">
        <f aca="false">IF(AND(A154&gt;=Inputs!$B$33,A154&lt;=Inputs!$B$34),INDEX(Inputs!$B$38:$B$49,11)*30*Inputs!$B$35/7,IF(MONTH(A154)=11,INDEX(Inputs!$B$38:$B$49,11)*30*(1-Inputs!$B$35)/23,INDEX(Inputs!$B$38:$B$49,MONTH(A154))))</f>
        <v>0.7</v>
      </c>
      <c r="E154" s="30" t="n">
        <f aca="false">IF(MONTH(A154)=1,(YEAR(A154)-1)*100+12,YEAR(A154)*100+MONTH(A154)-1)</f>
        <v>202612</v>
      </c>
      <c r="F154" s="20" t="n">
        <f aca="false">D154/SUMIFS($D$2:$D$176,$B$2:$B$176,B154)</f>
        <v>0.0823529411764706</v>
      </c>
      <c r="G154" s="11" t="n">
        <f aca="false">INDEX(Forecast!$B$8:$Z$8,1,(B154)+13)*F154</f>
        <v>12556.8358766739</v>
      </c>
      <c r="H154" s="11" t="n">
        <f aca="false">IF(B154&gt;=0,(INDEX(Forecast!$B$8:$Z$8,1,(B154)+13)*Inputs!$B$20+Inputs!$B$22)/7,IF(C154=202610,(Inputs!$B$21+Inputs!$B$22)/7,0))</f>
        <v>5121.76891933977</v>
      </c>
      <c r="I154" s="11" t="n">
        <f aca="false">IF(DAY(A154)=22,SUMIFS($H$2:$H$176,$C$2:$C$176,E154),0)</f>
        <v>0</v>
      </c>
      <c r="J154" s="11" t="n">
        <f aca="false">IF(DAY(A154)=1,Inputs!$B$24,0)</f>
        <v>0</v>
      </c>
      <c r="K154" s="11" t="n">
        <f aca="false">IF(DAY(A154)=1,Inputs!$B$30*Inputs!$B$31/12,0)</f>
        <v>0</v>
      </c>
      <c r="L154" s="11" t="n">
        <f aca="false">IF(DAY(A154)=20,Inputs!$B$25*SUMIFS($G$2:$G$176,$C$2:$C$176,E154),0)</f>
        <v>0</v>
      </c>
    </row>
    <row r="155" customFormat="false" ht="15" hidden="false" customHeight="false" outlineLevel="0" collapsed="false">
      <c r="A155" s="29" t="n">
        <v>46390</v>
      </c>
      <c r="B155" s="30" t="n">
        <f aca="false">INT((A155-Inputs!$B$5)/7)</f>
        <v>9</v>
      </c>
      <c r="C155" s="30" t="n">
        <f aca="false">YEAR(A155)*100+MONTH(A155)</f>
        <v>202701</v>
      </c>
      <c r="D155" s="20" t="n">
        <f aca="false">IF(AND(A155&gt;=Inputs!$B$33,A155&lt;=Inputs!$B$34),INDEX(Inputs!$B$38:$B$49,11)*30*Inputs!$B$35/7,IF(MONTH(A155)=11,INDEX(Inputs!$B$38:$B$49,11)*30*(1-Inputs!$B$35)/23,INDEX(Inputs!$B$38:$B$49,MONTH(A155))))</f>
        <v>0.7</v>
      </c>
      <c r="E155" s="30" t="n">
        <f aca="false">IF(MONTH(A155)=1,(YEAR(A155)-1)*100+12,YEAR(A155)*100+MONTH(A155)-1)</f>
        <v>202612</v>
      </c>
      <c r="F155" s="20" t="n">
        <f aca="false">D155/SUMIFS($D$2:$D$176,$B$2:$B$176,B155)</f>
        <v>0.0823529411764706</v>
      </c>
      <c r="G155" s="11" t="n">
        <f aca="false">INDEX(Forecast!$B$8:$Z$8,1,(B155)+13)*F155</f>
        <v>12556.8358766739</v>
      </c>
      <c r="H155" s="11" t="n">
        <f aca="false">IF(B155&gt;=0,(INDEX(Forecast!$B$8:$Z$8,1,(B155)+13)*Inputs!$B$20+Inputs!$B$22)/7,IF(C155=202610,(Inputs!$B$21+Inputs!$B$22)/7,0))</f>
        <v>5121.76891933977</v>
      </c>
      <c r="I155" s="11" t="n">
        <f aca="false">IF(DAY(A155)=22,SUMIFS($H$2:$H$176,$C$2:$C$176,E155),0)</f>
        <v>0</v>
      </c>
      <c r="J155" s="11" t="n">
        <f aca="false">IF(DAY(A155)=1,Inputs!$B$24,0)</f>
        <v>0</v>
      </c>
      <c r="K155" s="11" t="n">
        <f aca="false">IF(DAY(A155)=1,Inputs!$B$30*Inputs!$B$31/12,0)</f>
        <v>0</v>
      </c>
      <c r="L155" s="11" t="n">
        <f aca="false">IF(DAY(A155)=20,Inputs!$B$25*SUMIFS($G$2:$G$176,$C$2:$C$176,E155),0)</f>
        <v>0</v>
      </c>
    </row>
    <row r="156" customFormat="false" ht="15" hidden="false" customHeight="false" outlineLevel="0" collapsed="false">
      <c r="A156" s="29" t="n">
        <v>46391</v>
      </c>
      <c r="B156" s="30" t="n">
        <f aca="false">INT((A156-Inputs!$B$5)/7)</f>
        <v>10</v>
      </c>
      <c r="C156" s="30" t="n">
        <f aca="false">YEAR(A156)*100+MONTH(A156)</f>
        <v>202701</v>
      </c>
      <c r="D156" s="20" t="n">
        <f aca="false">IF(AND(A156&gt;=Inputs!$B$33,A156&lt;=Inputs!$B$34),INDEX(Inputs!$B$38:$B$49,11)*30*Inputs!$B$35/7,IF(MONTH(A156)=11,INDEX(Inputs!$B$38:$B$49,11)*30*(1-Inputs!$B$35)/23,INDEX(Inputs!$B$38:$B$49,MONTH(A156))))</f>
        <v>0.7</v>
      </c>
      <c r="E156" s="30" t="n">
        <f aca="false">IF(MONTH(A156)=1,(YEAR(A156)-1)*100+12,YEAR(A156)*100+MONTH(A156)-1)</f>
        <v>202612</v>
      </c>
      <c r="F156" s="20" t="n">
        <f aca="false">D156/SUMIFS($D$2:$D$176,$B$2:$B$176,B156)</f>
        <v>0.142857142857143</v>
      </c>
      <c r="G156" s="11" t="n">
        <f aca="false">INDEX(Forecast!$B$8:$Z$8,1,(B156)+13)*F156</f>
        <v>12556.8358766739</v>
      </c>
      <c r="H156" s="11" t="n">
        <f aca="false">IF(B156&gt;=0,(INDEX(Forecast!$B$8:$Z$8,1,(B156)+13)*Inputs!$B$20+Inputs!$B$22)/7,IF(C156=202610,(Inputs!$B$21+Inputs!$B$22)/7,0))</f>
        <v>3092.17422253859</v>
      </c>
      <c r="I156" s="11" t="n">
        <f aca="false">IF(DAY(A156)=22,SUMIFS($H$2:$H$176,$C$2:$C$176,E156),0)</f>
        <v>0</v>
      </c>
      <c r="J156" s="11" t="n">
        <f aca="false">IF(DAY(A156)=1,Inputs!$B$24,0)</f>
        <v>0</v>
      </c>
      <c r="K156" s="11" t="n">
        <f aca="false">IF(DAY(A156)=1,Inputs!$B$30*Inputs!$B$31/12,0)</f>
        <v>0</v>
      </c>
      <c r="L156" s="11" t="n">
        <f aca="false">IF(DAY(A156)=20,Inputs!$B$25*SUMIFS($G$2:$G$176,$C$2:$C$176,E156),0)</f>
        <v>0</v>
      </c>
    </row>
    <row r="157" customFormat="false" ht="15" hidden="false" customHeight="false" outlineLevel="0" collapsed="false">
      <c r="A157" s="29" t="n">
        <v>46392</v>
      </c>
      <c r="B157" s="30" t="n">
        <f aca="false">INT((A157-Inputs!$B$5)/7)</f>
        <v>10</v>
      </c>
      <c r="C157" s="30" t="n">
        <f aca="false">YEAR(A157)*100+MONTH(A157)</f>
        <v>202701</v>
      </c>
      <c r="D157" s="20" t="n">
        <f aca="false">IF(AND(A157&gt;=Inputs!$B$33,A157&lt;=Inputs!$B$34),INDEX(Inputs!$B$38:$B$49,11)*30*Inputs!$B$35/7,IF(MONTH(A157)=11,INDEX(Inputs!$B$38:$B$49,11)*30*(1-Inputs!$B$35)/23,INDEX(Inputs!$B$38:$B$49,MONTH(A157))))</f>
        <v>0.7</v>
      </c>
      <c r="E157" s="30" t="n">
        <f aca="false">IF(MONTH(A157)=1,(YEAR(A157)-1)*100+12,YEAR(A157)*100+MONTH(A157)-1)</f>
        <v>202612</v>
      </c>
      <c r="F157" s="20" t="n">
        <f aca="false">D157/SUMIFS($D$2:$D$176,$B$2:$B$176,B157)</f>
        <v>0.142857142857143</v>
      </c>
      <c r="G157" s="11" t="n">
        <f aca="false">INDEX(Forecast!$B$8:$Z$8,1,(B157)+13)*F157</f>
        <v>12556.8358766739</v>
      </c>
      <c r="H157" s="11" t="n">
        <f aca="false">IF(B157&gt;=0,(INDEX(Forecast!$B$8:$Z$8,1,(B157)+13)*Inputs!$B$20+Inputs!$B$22)/7,IF(C157=202610,(Inputs!$B$21+Inputs!$B$22)/7,0))</f>
        <v>3092.17422253859</v>
      </c>
      <c r="I157" s="11" t="n">
        <f aca="false">IF(DAY(A157)=22,SUMIFS($H$2:$H$176,$C$2:$C$176,E157),0)</f>
        <v>0</v>
      </c>
      <c r="J157" s="11" t="n">
        <f aca="false">IF(DAY(A157)=1,Inputs!$B$24,0)</f>
        <v>0</v>
      </c>
      <c r="K157" s="11" t="n">
        <f aca="false">IF(DAY(A157)=1,Inputs!$B$30*Inputs!$B$31/12,0)</f>
        <v>0</v>
      </c>
      <c r="L157" s="11" t="n">
        <f aca="false">IF(DAY(A157)=20,Inputs!$B$25*SUMIFS($G$2:$G$176,$C$2:$C$176,E157),0)</f>
        <v>0</v>
      </c>
    </row>
    <row r="158" customFormat="false" ht="15" hidden="false" customHeight="false" outlineLevel="0" collapsed="false">
      <c r="A158" s="29" t="n">
        <v>46393</v>
      </c>
      <c r="B158" s="30" t="n">
        <f aca="false">INT((A158-Inputs!$B$5)/7)</f>
        <v>10</v>
      </c>
      <c r="C158" s="30" t="n">
        <f aca="false">YEAR(A158)*100+MONTH(A158)</f>
        <v>202701</v>
      </c>
      <c r="D158" s="20" t="n">
        <f aca="false">IF(AND(A158&gt;=Inputs!$B$33,A158&lt;=Inputs!$B$34),INDEX(Inputs!$B$38:$B$49,11)*30*Inputs!$B$35/7,IF(MONTH(A158)=11,INDEX(Inputs!$B$38:$B$49,11)*30*(1-Inputs!$B$35)/23,INDEX(Inputs!$B$38:$B$49,MONTH(A158))))</f>
        <v>0.7</v>
      </c>
      <c r="E158" s="30" t="n">
        <f aca="false">IF(MONTH(A158)=1,(YEAR(A158)-1)*100+12,YEAR(A158)*100+MONTH(A158)-1)</f>
        <v>202612</v>
      </c>
      <c r="F158" s="20" t="n">
        <f aca="false">D158/SUMIFS($D$2:$D$176,$B$2:$B$176,B158)</f>
        <v>0.142857142857143</v>
      </c>
      <c r="G158" s="11" t="n">
        <f aca="false">INDEX(Forecast!$B$8:$Z$8,1,(B158)+13)*F158</f>
        <v>12556.8358766739</v>
      </c>
      <c r="H158" s="11" t="n">
        <f aca="false">IF(B158&gt;=0,(INDEX(Forecast!$B$8:$Z$8,1,(B158)+13)*Inputs!$B$20+Inputs!$B$22)/7,IF(C158=202610,(Inputs!$B$21+Inputs!$B$22)/7,0))</f>
        <v>3092.17422253859</v>
      </c>
      <c r="I158" s="11" t="n">
        <f aca="false">IF(DAY(A158)=22,SUMIFS($H$2:$H$176,$C$2:$C$176,E158),0)</f>
        <v>0</v>
      </c>
      <c r="J158" s="11" t="n">
        <f aca="false">IF(DAY(A158)=1,Inputs!$B$24,0)</f>
        <v>0</v>
      </c>
      <c r="K158" s="11" t="n">
        <f aca="false">IF(DAY(A158)=1,Inputs!$B$30*Inputs!$B$31/12,0)</f>
        <v>0</v>
      </c>
      <c r="L158" s="11" t="n">
        <f aca="false">IF(DAY(A158)=20,Inputs!$B$25*SUMIFS($G$2:$G$176,$C$2:$C$176,E158),0)</f>
        <v>0</v>
      </c>
    </row>
    <row r="159" customFormat="false" ht="15" hidden="false" customHeight="false" outlineLevel="0" collapsed="false">
      <c r="A159" s="29" t="n">
        <v>46394</v>
      </c>
      <c r="B159" s="30" t="n">
        <f aca="false">INT((A159-Inputs!$B$5)/7)</f>
        <v>10</v>
      </c>
      <c r="C159" s="30" t="n">
        <f aca="false">YEAR(A159)*100+MONTH(A159)</f>
        <v>202701</v>
      </c>
      <c r="D159" s="20" t="n">
        <f aca="false">IF(AND(A159&gt;=Inputs!$B$33,A159&lt;=Inputs!$B$34),INDEX(Inputs!$B$38:$B$49,11)*30*Inputs!$B$35/7,IF(MONTH(A159)=11,INDEX(Inputs!$B$38:$B$49,11)*30*(1-Inputs!$B$35)/23,INDEX(Inputs!$B$38:$B$49,MONTH(A159))))</f>
        <v>0.7</v>
      </c>
      <c r="E159" s="30" t="n">
        <f aca="false">IF(MONTH(A159)=1,(YEAR(A159)-1)*100+12,YEAR(A159)*100+MONTH(A159)-1)</f>
        <v>202612</v>
      </c>
      <c r="F159" s="20" t="n">
        <f aca="false">D159/SUMIFS($D$2:$D$176,$B$2:$B$176,B159)</f>
        <v>0.142857142857143</v>
      </c>
      <c r="G159" s="11" t="n">
        <f aca="false">INDEX(Forecast!$B$8:$Z$8,1,(B159)+13)*F159</f>
        <v>12556.8358766739</v>
      </c>
      <c r="H159" s="11" t="n">
        <f aca="false">IF(B159&gt;=0,(INDEX(Forecast!$B$8:$Z$8,1,(B159)+13)*Inputs!$B$20+Inputs!$B$22)/7,IF(C159=202610,(Inputs!$B$21+Inputs!$B$22)/7,0))</f>
        <v>3092.17422253859</v>
      </c>
      <c r="I159" s="11" t="n">
        <f aca="false">IF(DAY(A159)=22,SUMIFS($H$2:$H$176,$C$2:$C$176,E159),0)</f>
        <v>0</v>
      </c>
      <c r="J159" s="11" t="n">
        <f aca="false">IF(DAY(A159)=1,Inputs!$B$24,0)</f>
        <v>0</v>
      </c>
      <c r="K159" s="11" t="n">
        <f aca="false">IF(DAY(A159)=1,Inputs!$B$30*Inputs!$B$31/12,0)</f>
        <v>0</v>
      </c>
      <c r="L159" s="11" t="n">
        <f aca="false">IF(DAY(A159)=20,Inputs!$B$25*SUMIFS($G$2:$G$176,$C$2:$C$176,E159),0)</f>
        <v>0</v>
      </c>
    </row>
    <row r="160" customFormat="false" ht="15" hidden="false" customHeight="false" outlineLevel="0" collapsed="false">
      <c r="A160" s="29" t="n">
        <v>46395</v>
      </c>
      <c r="B160" s="30" t="n">
        <f aca="false">INT((A160-Inputs!$B$5)/7)</f>
        <v>10</v>
      </c>
      <c r="C160" s="30" t="n">
        <f aca="false">YEAR(A160)*100+MONTH(A160)</f>
        <v>202701</v>
      </c>
      <c r="D160" s="20" t="n">
        <f aca="false">IF(AND(A160&gt;=Inputs!$B$33,A160&lt;=Inputs!$B$34),INDEX(Inputs!$B$38:$B$49,11)*30*Inputs!$B$35/7,IF(MONTH(A160)=11,INDEX(Inputs!$B$38:$B$49,11)*30*(1-Inputs!$B$35)/23,INDEX(Inputs!$B$38:$B$49,MONTH(A160))))</f>
        <v>0.7</v>
      </c>
      <c r="E160" s="30" t="n">
        <f aca="false">IF(MONTH(A160)=1,(YEAR(A160)-1)*100+12,YEAR(A160)*100+MONTH(A160)-1)</f>
        <v>202612</v>
      </c>
      <c r="F160" s="20" t="n">
        <f aca="false">D160/SUMIFS($D$2:$D$176,$B$2:$B$176,B160)</f>
        <v>0.142857142857143</v>
      </c>
      <c r="G160" s="11" t="n">
        <f aca="false">INDEX(Forecast!$B$8:$Z$8,1,(B160)+13)*F160</f>
        <v>12556.8358766739</v>
      </c>
      <c r="H160" s="11" t="n">
        <f aca="false">IF(B160&gt;=0,(INDEX(Forecast!$B$8:$Z$8,1,(B160)+13)*Inputs!$B$20+Inputs!$B$22)/7,IF(C160=202610,(Inputs!$B$21+Inputs!$B$22)/7,0))</f>
        <v>3092.17422253859</v>
      </c>
      <c r="I160" s="11" t="n">
        <f aca="false">IF(DAY(A160)=22,SUMIFS($H$2:$H$176,$C$2:$C$176,E160),0)</f>
        <v>0</v>
      </c>
      <c r="J160" s="11" t="n">
        <f aca="false">IF(DAY(A160)=1,Inputs!$B$24,0)</f>
        <v>0</v>
      </c>
      <c r="K160" s="11" t="n">
        <f aca="false">IF(DAY(A160)=1,Inputs!$B$30*Inputs!$B$31/12,0)</f>
        <v>0</v>
      </c>
      <c r="L160" s="11" t="n">
        <f aca="false">IF(DAY(A160)=20,Inputs!$B$25*SUMIFS($G$2:$G$176,$C$2:$C$176,E160),0)</f>
        <v>0</v>
      </c>
    </row>
    <row r="161" customFormat="false" ht="15" hidden="false" customHeight="false" outlineLevel="0" collapsed="false">
      <c r="A161" s="29" t="n">
        <v>46396</v>
      </c>
      <c r="B161" s="30" t="n">
        <f aca="false">INT((A161-Inputs!$B$5)/7)</f>
        <v>10</v>
      </c>
      <c r="C161" s="30" t="n">
        <f aca="false">YEAR(A161)*100+MONTH(A161)</f>
        <v>202701</v>
      </c>
      <c r="D161" s="20" t="n">
        <f aca="false">IF(AND(A161&gt;=Inputs!$B$33,A161&lt;=Inputs!$B$34),INDEX(Inputs!$B$38:$B$49,11)*30*Inputs!$B$35/7,IF(MONTH(A161)=11,INDEX(Inputs!$B$38:$B$49,11)*30*(1-Inputs!$B$35)/23,INDEX(Inputs!$B$38:$B$49,MONTH(A161))))</f>
        <v>0.7</v>
      </c>
      <c r="E161" s="30" t="n">
        <f aca="false">IF(MONTH(A161)=1,(YEAR(A161)-1)*100+12,YEAR(A161)*100+MONTH(A161)-1)</f>
        <v>202612</v>
      </c>
      <c r="F161" s="20" t="n">
        <f aca="false">D161/SUMIFS($D$2:$D$176,$B$2:$B$176,B161)</f>
        <v>0.142857142857143</v>
      </c>
      <c r="G161" s="11" t="n">
        <f aca="false">INDEX(Forecast!$B$8:$Z$8,1,(B161)+13)*F161</f>
        <v>12556.8358766739</v>
      </c>
      <c r="H161" s="11" t="n">
        <f aca="false">IF(B161&gt;=0,(INDEX(Forecast!$B$8:$Z$8,1,(B161)+13)*Inputs!$B$20+Inputs!$B$22)/7,IF(C161=202610,(Inputs!$B$21+Inputs!$B$22)/7,0))</f>
        <v>3092.17422253859</v>
      </c>
      <c r="I161" s="11" t="n">
        <f aca="false">IF(DAY(A161)=22,SUMIFS($H$2:$H$176,$C$2:$C$176,E161),0)</f>
        <v>0</v>
      </c>
      <c r="J161" s="11" t="n">
        <f aca="false">IF(DAY(A161)=1,Inputs!$B$24,0)</f>
        <v>0</v>
      </c>
      <c r="K161" s="11" t="n">
        <f aca="false">IF(DAY(A161)=1,Inputs!$B$30*Inputs!$B$31/12,0)</f>
        <v>0</v>
      </c>
      <c r="L161" s="11" t="n">
        <f aca="false">IF(DAY(A161)=20,Inputs!$B$25*SUMIFS($G$2:$G$176,$C$2:$C$176,E161),0)</f>
        <v>0</v>
      </c>
    </row>
    <row r="162" customFormat="false" ht="15" hidden="false" customHeight="false" outlineLevel="0" collapsed="false">
      <c r="A162" s="29" t="n">
        <v>46397</v>
      </c>
      <c r="B162" s="30" t="n">
        <f aca="false">INT((A162-Inputs!$B$5)/7)</f>
        <v>10</v>
      </c>
      <c r="C162" s="30" t="n">
        <f aca="false">YEAR(A162)*100+MONTH(A162)</f>
        <v>202701</v>
      </c>
      <c r="D162" s="20" t="n">
        <f aca="false">IF(AND(A162&gt;=Inputs!$B$33,A162&lt;=Inputs!$B$34),INDEX(Inputs!$B$38:$B$49,11)*30*Inputs!$B$35/7,IF(MONTH(A162)=11,INDEX(Inputs!$B$38:$B$49,11)*30*(1-Inputs!$B$35)/23,INDEX(Inputs!$B$38:$B$49,MONTH(A162))))</f>
        <v>0.7</v>
      </c>
      <c r="E162" s="30" t="n">
        <f aca="false">IF(MONTH(A162)=1,(YEAR(A162)-1)*100+12,YEAR(A162)*100+MONTH(A162)-1)</f>
        <v>202612</v>
      </c>
      <c r="F162" s="20" t="n">
        <f aca="false">D162/SUMIFS($D$2:$D$176,$B$2:$B$176,B162)</f>
        <v>0.142857142857143</v>
      </c>
      <c r="G162" s="11" t="n">
        <f aca="false">INDEX(Forecast!$B$8:$Z$8,1,(B162)+13)*F162</f>
        <v>12556.8358766739</v>
      </c>
      <c r="H162" s="11" t="n">
        <f aca="false">IF(B162&gt;=0,(INDEX(Forecast!$B$8:$Z$8,1,(B162)+13)*Inputs!$B$20+Inputs!$B$22)/7,IF(C162=202610,(Inputs!$B$21+Inputs!$B$22)/7,0))</f>
        <v>3092.17422253859</v>
      </c>
      <c r="I162" s="11" t="n">
        <f aca="false">IF(DAY(A162)=22,SUMIFS($H$2:$H$176,$C$2:$C$176,E162),0)</f>
        <v>0</v>
      </c>
      <c r="J162" s="11" t="n">
        <f aca="false">IF(DAY(A162)=1,Inputs!$B$24,0)</f>
        <v>0</v>
      </c>
      <c r="K162" s="11" t="n">
        <f aca="false">IF(DAY(A162)=1,Inputs!$B$30*Inputs!$B$31/12,0)</f>
        <v>0</v>
      </c>
      <c r="L162" s="11" t="n">
        <f aca="false">IF(DAY(A162)=20,Inputs!$B$25*SUMIFS($G$2:$G$176,$C$2:$C$176,E162),0)</f>
        <v>0</v>
      </c>
    </row>
    <row r="163" customFormat="false" ht="15" hidden="false" customHeight="false" outlineLevel="0" collapsed="false">
      <c r="A163" s="29" t="n">
        <v>46398</v>
      </c>
      <c r="B163" s="30" t="n">
        <f aca="false">INT((A163-Inputs!$B$5)/7)</f>
        <v>11</v>
      </c>
      <c r="C163" s="30" t="n">
        <f aca="false">YEAR(A163)*100+MONTH(A163)</f>
        <v>202701</v>
      </c>
      <c r="D163" s="20" t="n">
        <f aca="false">IF(AND(A163&gt;=Inputs!$B$33,A163&lt;=Inputs!$B$34),INDEX(Inputs!$B$38:$B$49,11)*30*Inputs!$B$35/7,IF(MONTH(A163)=11,INDEX(Inputs!$B$38:$B$49,11)*30*(1-Inputs!$B$35)/23,INDEX(Inputs!$B$38:$B$49,MONTH(A163))))</f>
        <v>0.7</v>
      </c>
      <c r="E163" s="30" t="n">
        <f aca="false">IF(MONTH(A163)=1,(YEAR(A163)-1)*100+12,YEAR(A163)*100+MONTH(A163)-1)</f>
        <v>202612</v>
      </c>
      <c r="F163" s="20" t="n">
        <f aca="false">D163/SUMIFS($D$2:$D$176,$B$2:$B$176,B163)</f>
        <v>0.142857142857143</v>
      </c>
      <c r="G163" s="11" t="n">
        <f aca="false">INDEX(Forecast!$B$8:$Z$8,1,(B163)+13)*F163</f>
        <v>12556.8358766739</v>
      </c>
      <c r="H163" s="11" t="n">
        <f aca="false">IF(B163&gt;=0,(INDEX(Forecast!$B$8:$Z$8,1,(B163)+13)*Inputs!$B$20+Inputs!$B$22)/7,IF(C163=202610,(Inputs!$B$21+Inputs!$B$22)/7,0))</f>
        <v>3092.17422253859</v>
      </c>
      <c r="I163" s="11" t="n">
        <f aca="false">IF(DAY(A163)=22,SUMIFS($H$2:$H$176,$C$2:$C$176,E163),0)</f>
        <v>0</v>
      </c>
      <c r="J163" s="11" t="n">
        <f aca="false">IF(DAY(A163)=1,Inputs!$B$24,0)</f>
        <v>0</v>
      </c>
      <c r="K163" s="11" t="n">
        <f aca="false">IF(DAY(A163)=1,Inputs!$B$30*Inputs!$B$31/12,0)</f>
        <v>0</v>
      </c>
      <c r="L163" s="11" t="n">
        <f aca="false">IF(DAY(A163)=20,Inputs!$B$25*SUMIFS($G$2:$G$176,$C$2:$C$176,E163),0)</f>
        <v>0</v>
      </c>
    </row>
    <row r="164" customFormat="false" ht="15" hidden="false" customHeight="false" outlineLevel="0" collapsed="false">
      <c r="A164" s="29" t="n">
        <v>46399</v>
      </c>
      <c r="B164" s="30" t="n">
        <f aca="false">INT((A164-Inputs!$B$5)/7)</f>
        <v>11</v>
      </c>
      <c r="C164" s="30" t="n">
        <f aca="false">YEAR(A164)*100+MONTH(A164)</f>
        <v>202701</v>
      </c>
      <c r="D164" s="20" t="n">
        <f aca="false">IF(AND(A164&gt;=Inputs!$B$33,A164&lt;=Inputs!$B$34),INDEX(Inputs!$B$38:$B$49,11)*30*Inputs!$B$35/7,IF(MONTH(A164)=11,INDEX(Inputs!$B$38:$B$49,11)*30*(1-Inputs!$B$35)/23,INDEX(Inputs!$B$38:$B$49,MONTH(A164))))</f>
        <v>0.7</v>
      </c>
      <c r="E164" s="30" t="n">
        <f aca="false">IF(MONTH(A164)=1,(YEAR(A164)-1)*100+12,YEAR(A164)*100+MONTH(A164)-1)</f>
        <v>202612</v>
      </c>
      <c r="F164" s="20" t="n">
        <f aca="false">D164/SUMIFS($D$2:$D$176,$B$2:$B$176,B164)</f>
        <v>0.142857142857143</v>
      </c>
      <c r="G164" s="11" t="n">
        <f aca="false">INDEX(Forecast!$B$8:$Z$8,1,(B164)+13)*F164</f>
        <v>12556.8358766739</v>
      </c>
      <c r="H164" s="11" t="n">
        <f aca="false">IF(B164&gt;=0,(INDEX(Forecast!$B$8:$Z$8,1,(B164)+13)*Inputs!$B$20+Inputs!$B$22)/7,IF(C164=202610,(Inputs!$B$21+Inputs!$B$22)/7,0))</f>
        <v>3092.17422253859</v>
      </c>
      <c r="I164" s="11" t="n">
        <f aca="false">IF(DAY(A164)=22,SUMIFS($H$2:$H$176,$C$2:$C$176,E164),0)</f>
        <v>0</v>
      </c>
      <c r="J164" s="11" t="n">
        <f aca="false">IF(DAY(A164)=1,Inputs!$B$24,0)</f>
        <v>0</v>
      </c>
      <c r="K164" s="11" t="n">
        <f aca="false">IF(DAY(A164)=1,Inputs!$B$30*Inputs!$B$31/12,0)</f>
        <v>0</v>
      </c>
      <c r="L164" s="11" t="n">
        <f aca="false">IF(DAY(A164)=20,Inputs!$B$25*SUMIFS($G$2:$G$176,$C$2:$C$176,E164),0)</f>
        <v>0</v>
      </c>
    </row>
    <row r="165" customFormat="false" ht="15" hidden="false" customHeight="false" outlineLevel="0" collapsed="false">
      <c r="A165" s="29" t="n">
        <v>46400</v>
      </c>
      <c r="B165" s="30" t="n">
        <f aca="false">INT((A165-Inputs!$B$5)/7)</f>
        <v>11</v>
      </c>
      <c r="C165" s="30" t="n">
        <f aca="false">YEAR(A165)*100+MONTH(A165)</f>
        <v>202701</v>
      </c>
      <c r="D165" s="20" t="n">
        <f aca="false">IF(AND(A165&gt;=Inputs!$B$33,A165&lt;=Inputs!$B$34),INDEX(Inputs!$B$38:$B$49,11)*30*Inputs!$B$35/7,IF(MONTH(A165)=11,INDEX(Inputs!$B$38:$B$49,11)*30*(1-Inputs!$B$35)/23,INDEX(Inputs!$B$38:$B$49,MONTH(A165))))</f>
        <v>0.7</v>
      </c>
      <c r="E165" s="30" t="n">
        <f aca="false">IF(MONTH(A165)=1,(YEAR(A165)-1)*100+12,YEAR(A165)*100+MONTH(A165)-1)</f>
        <v>202612</v>
      </c>
      <c r="F165" s="20" t="n">
        <f aca="false">D165/SUMIFS($D$2:$D$176,$B$2:$B$176,B165)</f>
        <v>0.142857142857143</v>
      </c>
      <c r="G165" s="11" t="n">
        <f aca="false">INDEX(Forecast!$B$8:$Z$8,1,(B165)+13)*F165</f>
        <v>12556.8358766739</v>
      </c>
      <c r="H165" s="11" t="n">
        <f aca="false">IF(B165&gt;=0,(INDEX(Forecast!$B$8:$Z$8,1,(B165)+13)*Inputs!$B$20+Inputs!$B$22)/7,IF(C165=202610,(Inputs!$B$21+Inputs!$B$22)/7,0))</f>
        <v>3092.17422253859</v>
      </c>
      <c r="I165" s="11" t="n">
        <f aca="false">IF(DAY(A165)=22,SUMIFS($H$2:$H$176,$C$2:$C$176,E165),0)</f>
        <v>0</v>
      </c>
      <c r="J165" s="11" t="n">
        <f aca="false">IF(DAY(A165)=1,Inputs!$B$24,0)</f>
        <v>0</v>
      </c>
      <c r="K165" s="11" t="n">
        <f aca="false">IF(DAY(A165)=1,Inputs!$B$30*Inputs!$B$31/12,0)</f>
        <v>0</v>
      </c>
      <c r="L165" s="11" t="n">
        <f aca="false">IF(DAY(A165)=20,Inputs!$B$25*SUMIFS($G$2:$G$176,$C$2:$C$176,E165),0)</f>
        <v>0</v>
      </c>
    </row>
    <row r="166" customFormat="false" ht="15" hidden="false" customHeight="false" outlineLevel="0" collapsed="false">
      <c r="A166" s="29" t="n">
        <v>46401</v>
      </c>
      <c r="B166" s="30" t="n">
        <f aca="false">INT((A166-Inputs!$B$5)/7)</f>
        <v>11</v>
      </c>
      <c r="C166" s="30" t="n">
        <f aca="false">YEAR(A166)*100+MONTH(A166)</f>
        <v>202701</v>
      </c>
      <c r="D166" s="20" t="n">
        <f aca="false">IF(AND(A166&gt;=Inputs!$B$33,A166&lt;=Inputs!$B$34),INDEX(Inputs!$B$38:$B$49,11)*30*Inputs!$B$35/7,IF(MONTH(A166)=11,INDEX(Inputs!$B$38:$B$49,11)*30*(1-Inputs!$B$35)/23,INDEX(Inputs!$B$38:$B$49,MONTH(A166))))</f>
        <v>0.7</v>
      </c>
      <c r="E166" s="30" t="n">
        <f aca="false">IF(MONTH(A166)=1,(YEAR(A166)-1)*100+12,YEAR(A166)*100+MONTH(A166)-1)</f>
        <v>202612</v>
      </c>
      <c r="F166" s="20" t="n">
        <f aca="false">D166/SUMIFS($D$2:$D$176,$B$2:$B$176,B166)</f>
        <v>0.142857142857143</v>
      </c>
      <c r="G166" s="11" t="n">
        <f aca="false">INDEX(Forecast!$B$8:$Z$8,1,(B166)+13)*F166</f>
        <v>12556.8358766739</v>
      </c>
      <c r="H166" s="11" t="n">
        <f aca="false">IF(B166&gt;=0,(INDEX(Forecast!$B$8:$Z$8,1,(B166)+13)*Inputs!$B$20+Inputs!$B$22)/7,IF(C166=202610,(Inputs!$B$21+Inputs!$B$22)/7,0))</f>
        <v>3092.17422253859</v>
      </c>
      <c r="I166" s="11" t="n">
        <f aca="false">IF(DAY(A166)=22,SUMIFS($H$2:$H$176,$C$2:$C$176,E166),0)</f>
        <v>0</v>
      </c>
      <c r="J166" s="11" t="n">
        <f aca="false">IF(DAY(A166)=1,Inputs!$B$24,0)</f>
        <v>0</v>
      </c>
      <c r="K166" s="11" t="n">
        <f aca="false">IF(DAY(A166)=1,Inputs!$B$30*Inputs!$B$31/12,0)</f>
        <v>0</v>
      </c>
      <c r="L166" s="11" t="n">
        <f aca="false">IF(DAY(A166)=20,Inputs!$B$25*SUMIFS($G$2:$G$176,$C$2:$C$176,E166),0)</f>
        <v>0</v>
      </c>
    </row>
    <row r="167" customFormat="false" ht="15" hidden="false" customHeight="false" outlineLevel="0" collapsed="false">
      <c r="A167" s="29" t="n">
        <v>46402</v>
      </c>
      <c r="B167" s="30" t="n">
        <f aca="false">INT((A167-Inputs!$B$5)/7)</f>
        <v>11</v>
      </c>
      <c r="C167" s="30" t="n">
        <f aca="false">YEAR(A167)*100+MONTH(A167)</f>
        <v>202701</v>
      </c>
      <c r="D167" s="20" t="n">
        <f aca="false">IF(AND(A167&gt;=Inputs!$B$33,A167&lt;=Inputs!$B$34),INDEX(Inputs!$B$38:$B$49,11)*30*Inputs!$B$35/7,IF(MONTH(A167)=11,INDEX(Inputs!$B$38:$B$49,11)*30*(1-Inputs!$B$35)/23,INDEX(Inputs!$B$38:$B$49,MONTH(A167))))</f>
        <v>0.7</v>
      </c>
      <c r="E167" s="30" t="n">
        <f aca="false">IF(MONTH(A167)=1,(YEAR(A167)-1)*100+12,YEAR(A167)*100+MONTH(A167)-1)</f>
        <v>202612</v>
      </c>
      <c r="F167" s="20" t="n">
        <f aca="false">D167/SUMIFS($D$2:$D$176,$B$2:$B$176,B167)</f>
        <v>0.142857142857143</v>
      </c>
      <c r="G167" s="11" t="n">
        <f aca="false">INDEX(Forecast!$B$8:$Z$8,1,(B167)+13)*F167</f>
        <v>12556.8358766739</v>
      </c>
      <c r="H167" s="11" t="n">
        <f aca="false">IF(B167&gt;=0,(INDEX(Forecast!$B$8:$Z$8,1,(B167)+13)*Inputs!$B$20+Inputs!$B$22)/7,IF(C167=202610,(Inputs!$B$21+Inputs!$B$22)/7,0))</f>
        <v>3092.17422253859</v>
      </c>
      <c r="I167" s="11" t="n">
        <f aca="false">IF(DAY(A167)=22,SUMIFS($H$2:$H$176,$C$2:$C$176,E167),0)</f>
        <v>0</v>
      </c>
      <c r="J167" s="11" t="n">
        <f aca="false">IF(DAY(A167)=1,Inputs!$B$24,0)</f>
        <v>0</v>
      </c>
      <c r="K167" s="11" t="n">
        <f aca="false">IF(DAY(A167)=1,Inputs!$B$30*Inputs!$B$31/12,0)</f>
        <v>0</v>
      </c>
      <c r="L167" s="11" t="n">
        <f aca="false">IF(DAY(A167)=20,Inputs!$B$25*SUMIFS($G$2:$G$176,$C$2:$C$176,E167),0)</f>
        <v>0</v>
      </c>
    </row>
    <row r="168" customFormat="false" ht="15" hidden="false" customHeight="false" outlineLevel="0" collapsed="false">
      <c r="A168" s="29" t="n">
        <v>46403</v>
      </c>
      <c r="B168" s="30" t="n">
        <f aca="false">INT((A168-Inputs!$B$5)/7)</f>
        <v>11</v>
      </c>
      <c r="C168" s="30" t="n">
        <f aca="false">YEAR(A168)*100+MONTH(A168)</f>
        <v>202701</v>
      </c>
      <c r="D168" s="20" t="n">
        <f aca="false">IF(AND(A168&gt;=Inputs!$B$33,A168&lt;=Inputs!$B$34),INDEX(Inputs!$B$38:$B$49,11)*30*Inputs!$B$35/7,IF(MONTH(A168)=11,INDEX(Inputs!$B$38:$B$49,11)*30*(1-Inputs!$B$35)/23,INDEX(Inputs!$B$38:$B$49,MONTH(A168))))</f>
        <v>0.7</v>
      </c>
      <c r="E168" s="30" t="n">
        <f aca="false">IF(MONTH(A168)=1,(YEAR(A168)-1)*100+12,YEAR(A168)*100+MONTH(A168)-1)</f>
        <v>202612</v>
      </c>
      <c r="F168" s="20" t="n">
        <f aca="false">D168/SUMIFS($D$2:$D$176,$B$2:$B$176,B168)</f>
        <v>0.142857142857143</v>
      </c>
      <c r="G168" s="11" t="n">
        <f aca="false">INDEX(Forecast!$B$8:$Z$8,1,(B168)+13)*F168</f>
        <v>12556.8358766739</v>
      </c>
      <c r="H168" s="11" t="n">
        <f aca="false">IF(B168&gt;=0,(INDEX(Forecast!$B$8:$Z$8,1,(B168)+13)*Inputs!$B$20+Inputs!$B$22)/7,IF(C168=202610,(Inputs!$B$21+Inputs!$B$22)/7,0))</f>
        <v>3092.17422253859</v>
      </c>
      <c r="I168" s="11" t="n">
        <f aca="false">IF(DAY(A168)=22,SUMIFS($H$2:$H$176,$C$2:$C$176,E168),0)</f>
        <v>0</v>
      </c>
      <c r="J168" s="11" t="n">
        <f aca="false">IF(DAY(A168)=1,Inputs!$B$24,0)</f>
        <v>0</v>
      </c>
      <c r="K168" s="11" t="n">
        <f aca="false">IF(DAY(A168)=1,Inputs!$B$30*Inputs!$B$31/12,0)</f>
        <v>0</v>
      </c>
      <c r="L168" s="11" t="n">
        <f aca="false">IF(DAY(A168)=20,Inputs!$B$25*SUMIFS($G$2:$G$176,$C$2:$C$176,E168),0)</f>
        <v>0</v>
      </c>
    </row>
    <row r="169" customFormat="false" ht="15" hidden="false" customHeight="false" outlineLevel="0" collapsed="false">
      <c r="A169" s="29" t="n">
        <v>46404</v>
      </c>
      <c r="B169" s="30" t="n">
        <f aca="false">INT((A169-Inputs!$B$5)/7)</f>
        <v>11</v>
      </c>
      <c r="C169" s="30" t="n">
        <f aca="false">YEAR(A169)*100+MONTH(A169)</f>
        <v>202701</v>
      </c>
      <c r="D169" s="20" t="n">
        <f aca="false">IF(AND(A169&gt;=Inputs!$B$33,A169&lt;=Inputs!$B$34),INDEX(Inputs!$B$38:$B$49,11)*30*Inputs!$B$35/7,IF(MONTH(A169)=11,INDEX(Inputs!$B$38:$B$49,11)*30*(1-Inputs!$B$35)/23,INDEX(Inputs!$B$38:$B$49,MONTH(A169))))</f>
        <v>0.7</v>
      </c>
      <c r="E169" s="30" t="n">
        <f aca="false">IF(MONTH(A169)=1,(YEAR(A169)-1)*100+12,YEAR(A169)*100+MONTH(A169)-1)</f>
        <v>202612</v>
      </c>
      <c r="F169" s="20" t="n">
        <f aca="false">D169/SUMIFS($D$2:$D$176,$B$2:$B$176,B169)</f>
        <v>0.142857142857143</v>
      </c>
      <c r="G169" s="11" t="n">
        <f aca="false">INDEX(Forecast!$B$8:$Z$8,1,(B169)+13)*F169</f>
        <v>12556.8358766739</v>
      </c>
      <c r="H169" s="11" t="n">
        <f aca="false">IF(B169&gt;=0,(INDEX(Forecast!$B$8:$Z$8,1,(B169)+13)*Inputs!$B$20+Inputs!$B$22)/7,IF(C169=202610,(Inputs!$B$21+Inputs!$B$22)/7,0))</f>
        <v>3092.17422253859</v>
      </c>
      <c r="I169" s="11" t="n">
        <f aca="false">IF(DAY(A169)=22,SUMIFS($H$2:$H$176,$C$2:$C$176,E169),0)</f>
        <v>0</v>
      </c>
      <c r="J169" s="11" t="n">
        <f aca="false">IF(DAY(A169)=1,Inputs!$B$24,0)</f>
        <v>0</v>
      </c>
      <c r="K169" s="11" t="n">
        <f aca="false">IF(DAY(A169)=1,Inputs!$B$30*Inputs!$B$31/12,0)</f>
        <v>0</v>
      </c>
      <c r="L169" s="11" t="n">
        <f aca="false">IF(DAY(A169)=20,Inputs!$B$25*SUMIFS($G$2:$G$176,$C$2:$C$176,E169),0)</f>
        <v>0</v>
      </c>
    </row>
    <row r="170" customFormat="false" ht="15" hidden="false" customHeight="false" outlineLevel="0" collapsed="false">
      <c r="A170" s="29" t="n">
        <v>46405</v>
      </c>
      <c r="B170" s="30" t="n">
        <f aca="false">INT((A170-Inputs!$B$5)/7)</f>
        <v>12</v>
      </c>
      <c r="C170" s="30" t="n">
        <f aca="false">YEAR(A170)*100+MONTH(A170)</f>
        <v>202701</v>
      </c>
      <c r="D170" s="20" t="n">
        <f aca="false">IF(AND(A170&gt;=Inputs!$B$33,A170&lt;=Inputs!$B$34),INDEX(Inputs!$B$38:$B$49,11)*30*Inputs!$B$35/7,IF(MONTH(A170)=11,INDEX(Inputs!$B$38:$B$49,11)*30*(1-Inputs!$B$35)/23,INDEX(Inputs!$B$38:$B$49,MONTH(A170))))</f>
        <v>0.7</v>
      </c>
      <c r="E170" s="30" t="n">
        <f aca="false">IF(MONTH(A170)=1,(YEAR(A170)-1)*100+12,YEAR(A170)*100+MONTH(A170)-1)</f>
        <v>202612</v>
      </c>
      <c r="F170" s="20" t="n">
        <f aca="false">D170/SUMIFS($D$2:$D$176,$B$2:$B$176,B170)</f>
        <v>0.142857142857143</v>
      </c>
      <c r="G170" s="11" t="n">
        <f aca="false">INDEX(Forecast!$B$8:$Z$8,1,(B170)+13)*F170</f>
        <v>12556.8358766739</v>
      </c>
      <c r="H170" s="11" t="n">
        <f aca="false">IF(B170&gt;=0,(INDEX(Forecast!$B$8:$Z$8,1,(B170)+13)*Inputs!$B$20+Inputs!$B$22)/7,IF(C170=202610,(Inputs!$B$21+Inputs!$B$22)/7,0))</f>
        <v>3092.17422253859</v>
      </c>
      <c r="I170" s="11" t="n">
        <f aca="false">IF(DAY(A170)=22,SUMIFS($H$2:$H$176,$C$2:$C$176,E170),0)</f>
        <v>0</v>
      </c>
      <c r="J170" s="11" t="n">
        <f aca="false">IF(DAY(A170)=1,Inputs!$B$24,0)</f>
        <v>0</v>
      </c>
      <c r="K170" s="11" t="n">
        <f aca="false">IF(DAY(A170)=1,Inputs!$B$30*Inputs!$B$31/12,0)</f>
        <v>0</v>
      </c>
      <c r="L170" s="11" t="n">
        <f aca="false">IF(DAY(A170)=20,Inputs!$B$25*SUMIFS($G$2:$G$176,$C$2:$C$176,E170),0)</f>
        <v>0</v>
      </c>
    </row>
    <row r="171" customFormat="false" ht="15" hidden="false" customHeight="false" outlineLevel="0" collapsed="false">
      <c r="A171" s="29" t="n">
        <v>46406</v>
      </c>
      <c r="B171" s="30" t="n">
        <f aca="false">INT((A171-Inputs!$B$5)/7)</f>
        <v>12</v>
      </c>
      <c r="C171" s="30" t="n">
        <f aca="false">YEAR(A171)*100+MONTH(A171)</f>
        <v>202701</v>
      </c>
      <c r="D171" s="20" t="n">
        <f aca="false">IF(AND(A171&gt;=Inputs!$B$33,A171&lt;=Inputs!$B$34),INDEX(Inputs!$B$38:$B$49,11)*30*Inputs!$B$35/7,IF(MONTH(A171)=11,INDEX(Inputs!$B$38:$B$49,11)*30*(1-Inputs!$B$35)/23,INDEX(Inputs!$B$38:$B$49,MONTH(A171))))</f>
        <v>0.7</v>
      </c>
      <c r="E171" s="30" t="n">
        <f aca="false">IF(MONTH(A171)=1,(YEAR(A171)-1)*100+12,YEAR(A171)*100+MONTH(A171)-1)</f>
        <v>202612</v>
      </c>
      <c r="F171" s="20" t="n">
        <f aca="false">D171/SUMIFS($D$2:$D$176,$B$2:$B$176,B171)</f>
        <v>0.142857142857143</v>
      </c>
      <c r="G171" s="11" t="n">
        <f aca="false">INDEX(Forecast!$B$8:$Z$8,1,(B171)+13)*F171</f>
        <v>12556.8358766739</v>
      </c>
      <c r="H171" s="11" t="n">
        <f aca="false">IF(B171&gt;=0,(INDEX(Forecast!$B$8:$Z$8,1,(B171)+13)*Inputs!$B$20+Inputs!$B$22)/7,IF(C171=202610,(Inputs!$B$21+Inputs!$B$22)/7,0))</f>
        <v>3092.17422253859</v>
      </c>
      <c r="I171" s="11" t="n">
        <f aca="false">IF(DAY(A171)=22,SUMIFS($H$2:$H$176,$C$2:$C$176,E171),0)</f>
        <v>0</v>
      </c>
      <c r="J171" s="11" t="n">
        <f aca="false">IF(DAY(A171)=1,Inputs!$B$24,0)</f>
        <v>0</v>
      </c>
      <c r="K171" s="11" t="n">
        <f aca="false">IF(DAY(A171)=1,Inputs!$B$30*Inputs!$B$31/12,0)</f>
        <v>0</v>
      </c>
      <c r="L171" s="11" t="n">
        <f aca="false">IF(DAY(A171)=20,Inputs!$B$25*SUMIFS($G$2:$G$176,$C$2:$C$176,E171),0)</f>
        <v>0</v>
      </c>
    </row>
    <row r="172" customFormat="false" ht="15" hidden="false" customHeight="false" outlineLevel="0" collapsed="false">
      <c r="A172" s="29" t="n">
        <v>46407</v>
      </c>
      <c r="B172" s="30" t="n">
        <f aca="false">INT((A172-Inputs!$B$5)/7)</f>
        <v>12</v>
      </c>
      <c r="C172" s="30" t="n">
        <f aca="false">YEAR(A172)*100+MONTH(A172)</f>
        <v>202701</v>
      </c>
      <c r="D172" s="20" t="n">
        <f aca="false">IF(AND(A172&gt;=Inputs!$B$33,A172&lt;=Inputs!$B$34),INDEX(Inputs!$B$38:$B$49,11)*30*Inputs!$B$35/7,IF(MONTH(A172)=11,INDEX(Inputs!$B$38:$B$49,11)*30*(1-Inputs!$B$35)/23,INDEX(Inputs!$B$38:$B$49,MONTH(A172))))</f>
        <v>0.7</v>
      </c>
      <c r="E172" s="30" t="n">
        <f aca="false">IF(MONTH(A172)=1,(YEAR(A172)-1)*100+12,YEAR(A172)*100+MONTH(A172)-1)</f>
        <v>202612</v>
      </c>
      <c r="F172" s="20" t="n">
        <f aca="false">D172/SUMIFS($D$2:$D$176,$B$2:$B$176,B172)</f>
        <v>0.142857142857143</v>
      </c>
      <c r="G172" s="11" t="n">
        <f aca="false">INDEX(Forecast!$B$8:$Z$8,1,(B172)+13)*F172</f>
        <v>12556.8358766739</v>
      </c>
      <c r="H172" s="11" t="n">
        <f aca="false">IF(B172&gt;=0,(INDEX(Forecast!$B$8:$Z$8,1,(B172)+13)*Inputs!$B$20+Inputs!$B$22)/7,IF(C172=202610,(Inputs!$B$21+Inputs!$B$22)/7,0))</f>
        <v>3092.17422253859</v>
      </c>
      <c r="I172" s="11" t="n">
        <f aca="false">IF(DAY(A172)=22,SUMIFS($H$2:$H$176,$C$2:$C$176,E172),0)</f>
        <v>0</v>
      </c>
      <c r="J172" s="11" t="n">
        <f aca="false">IF(DAY(A172)=1,Inputs!$B$24,0)</f>
        <v>0</v>
      </c>
      <c r="K172" s="11" t="n">
        <f aca="false">IF(DAY(A172)=1,Inputs!$B$30*Inputs!$B$31/12,0)</f>
        <v>0</v>
      </c>
      <c r="L172" s="11" t="n">
        <f aca="false">IF(DAY(A172)=20,Inputs!$B$25*SUMIFS($G$2:$G$176,$C$2:$C$176,E172),0)</f>
        <v>35589.6605418873</v>
      </c>
    </row>
    <row r="173" customFormat="false" ht="15" hidden="false" customHeight="false" outlineLevel="0" collapsed="false">
      <c r="A173" s="29" t="n">
        <v>46408</v>
      </c>
      <c r="B173" s="30" t="n">
        <f aca="false">INT((A173-Inputs!$B$5)/7)</f>
        <v>12</v>
      </c>
      <c r="C173" s="30" t="n">
        <f aca="false">YEAR(A173)*100+MONTH(A173)</f>
        <v>202701</v>
      </c>
      <c r="D173" s="20" t="n">
        <f aca="false">IF(AND(A173&gt;=Inputs!$B$33,A173&lt;=Inputs!$B$34),INDEX(Inputs!$B$38:$B$49,11)*30*Inputs!$B$35/7,IF(MONTH(A173)=11,INDEX(Inputs!$B$38:$B$49,11)*30*(1-Inputs!$B$35)/23,INDEX(Inputs!$B$38:$B$49,MONTH(A173))))</f>
        <v>0.7</v>
      </c>
      <c r="E173" s="30" t="n">
        <f aca="false">IF(MONTH(A173)=1,(YEAR(A173)-1)*100+12,YEAR(A173)*100+MONTH(A173)-1)</f>
        <v>202612</v>
      </c>
      <c r="F173" s="20" t="n">
        <f aca="false">D173/SUMIFS($D$2:$D$176,$B$2:$B$176,B173)</f>
        <v>0.142857142857143</v>
      </c>
      <c r="G173" s="11" t="n">
        <f aca="false">INDEX(Forecast!$B$8:$Z$8,1,(B173)+13)*F173</f>
        <v>12556.8358766739</v>
      </c>
      <c r="H173" s="11" t="n">
        <f aca="false">IF(B173&gt;=0,(INDEX(Forecast!$B$8:$Z$8,1,(B173)+13)*Inputs!$B$20+Inputs!$B$22)/7,IF(C173=202610,(Inputs!$B$21+Inputs!$B$22)/7,0))</f>
        <v>3092.17422253859</v>
      </c>
      <c r="I173" s="11" t="n">
        <f aca="false">IF(DAY(A173)=22,SUMIFS($H$2:$H$176,$C$2:$C$176,E173),0)</f>
        <v>0</v>
      </c>
      <c r="J173" s="11" t="n">
        <f aca="false">IF(DAY(A173)=1,Inputs!$B$24,0)</f>
        <v>0</v>
      </c>
      <c r="K173" s="11" t="n">
        <f aca="false">IF(DAY(A173)=1,Inputs!$B$30*Inputs!$B$31/12,0)</f>
        <v>0</v>
      </c>
      <c r="L173" s="11" t="n">
        <f aca="false">IF(DAY(A173)=20,Inputs!$B$25*SUMIFS($G$2:$G$176,$C$2:$C$176,E173),0)</f>
        <v>0</v>
      </c>
    </row>
    <row r="174" customFormat="false" ht="15" hidden="false" customHeight="false" outlineLevel="0" collapsed="false">
      <c r="A174" s="29" t="n">
        <v>46409</v>
      </c>
      <c r="B174" s="30" t="n">
        <f aca="false">INT((A174-Inputs!$B$5)/7)</f>
        <v>12</v>
      </c>
      <c r="C174" s="30" t="n">
        <f aca="false">YEAR(A174)*100+MONTH(A174)</f>
        <v>202701</v>
      </c>
      <c r="D174" s="20" t="n">
        <f aca="false">IF(AND(A174&gt;=Inputs!$B$33,A174&lt;=Inputs!$B$34),INDEX(Inputs!$B$38:$B$49,11)*30*Inputs!$B$35/7,IF(MONTH(A174)=11,INDEX(Inputs!$B$38:$B$49,11)*30*(1-Inputs!$B$35)/23,INDEX(Inputs!$B$38:$B$49,MONTH(A174))))</f>
        <v>0.7</v>
      </c>
      <c r="E174" s="30" t="n">
        <f aca="false">IF(MONTH(A174)=1,(YEAR(A174)-1)*100+12,YEAR(A174)*100+MONTH(A174)-1)</f>
        <v>202612</v>
      </c>
      <c r="F174" s="20" t="n">
        <f aca="false">D174/SUMIFS($D$2:$D$176,$B$2:$B$176,B174)</f>
        <v>0.142857142857143</v>
      </c>
      <c r="G174" s="11" t="n">
        <f aca="false">INDEX(Forecast!$B$8:$Z$8,1,(B174)+13)*F174</f>
        <v>12556.8358766739</v>
      </c>
      <c r="H174" s="11" t="n">
        <f aca="false">IF(B174&gt;=0,(INDEX(Forecast!$B$8:$Z$8,1,(B174)+13)*Inputs!$B$20+Inputs!$B$22)/7,IF(C174=202610,(Inputs!$B$21+Inputs!$B$22)/7,0))</f>
        <v>3092.17422253859</v>
      </c>
      <c r="I174" s="11" t="n">
        <f aca="false">IF(DAY(A174)=22,SUMIFS($H$2:$H$176,$C$2:$C$176,E174),0)</f>
        <v>200021.201189235</v>
      </c>
      <c r="J174" s="11" t="n">
        <f aca="false">IF(DAY(A174)=1,Inputs!$B$24,0)</f>
        <v>0</v>
      </c>
      <c r="K174" s="11" t="n">
        <f aca="false">IF(DAY(A174)=1,Inputs!$B$30*Inputs!$B$31/12,0)</f>
        <v>0</v>
      </c>
      <c r="L174" s="11" t="n">
        <f aca="false">IF(DAY(A174)=20,Inputs!$B$25*SUMIFS($G$2:$G$176,$C$2:$C$176,E174),0)</f>
        <v>0</v>
      </c>
    </row>
    <row r="175" customFormat="false" ht="15" hidden="false" customHeight="false" outlineLevel="0" collapsed="false">
      <c r="A175" s="29" t="n">
        <v>46410</v>
      </c>
      <c r="B175" s="30" t="n">
        <f aca="false">INT((A175-Inputs!$B$5)/7)</f>
        <v>12</v>
      </c>
      <c r="C175" s="30" t="n">
        <f aca="false">YEAR(A175)*100+MONTH(A175)</f>
        <v>202701</v>
      </c>
      <c r="D175" s="20" t="n">
        <f aca="false">IF(AND(A175&gt;=Inputs!$B$33,A175&lt;=Inputs!$B$34),INDEX(Inputs!$B$38:$B$49,11)*30*Inputs!$B$35/7,IF(MONTH(A175)=11,INDEX(Inputs!$B$38:$B$49,11)*30*(1-Inputs!$B$35)/23,INDEX(Inputs!$B$38:$B$49,MONTH(A175))))</f>
        <v>0.7</v>
      </c>
      <c r="E175" s="30" t="n">
        <f aca="false">IF(MONTH(A175)=1,(YEAR(A175)-1)*100+12,YEAR(A175)*100+MONTH(A175)-1)</f>
        <v>202612</v>
      </c>
      <c r="F175" s="20" t="n">
        <f aca="false">D175/SUMIFS($D$2:$D$176,$B$2:$B$176,B175)</f>
        <v>0.142857142857143</v>
      </c>
      <c r="G175" s="11" t="n">
        <f aca="false">INDEX(Forecast!$B$8:$Z$8,1,(B175)+13)*F175</f>
        <v>12556.8358766739</v>
      </c>
      <c r="H175" s="11" t="n">
        <f aca="false">IF(B175&gt;=0,(INDEX(Forecast!$B$8:$Z$8,1,(B175)+13)*Inputs!$B$20+Inputs!$B$22)/7,IF(C175=202610,(Inputs!$B$21+Inputs!$B$22)/7,0))</f>
        <v>3092.17422253859</v>
      </c>
      <c r="I175" s="11" t="n">
        <f aca="false">IF(DAY(A175)=22,SUMIFS($H$2:$H$176,$C$2:$C$176,E175),0)</f>
        <v>0</v>
      </c>
      <c r="J175" s="11" t="n">
        <f aca="false">IF(DAY(A175)=1,Inputs!$B$24,0)</f>
        <v>0</v>
      </c>
      <c r="K175" s="11" t="n">
        <f aca="false">IF(DAY(A175)=1,Inputs!$B$30*Inputs!$B$31/12,0)</f>
        <v>0</v>
      </c>
      <c r="L175" s="11" t="n">
        <f aca="false">IF(DAY(A175)=20,Inputs!$B$25*SUMIFS($G$2:$G$176,$C$2:$C$176,E175),0)</f>
        <v>0</v>
      </c>
    </row>
    <row r="176" customFormat="false" ht="15" hidden="false" customHeight="false" outlineLevel="0" collapsed="false">
      <c r="A176" s="29" t="n">
        <v>46411</v>
      </c>
      <c r="B176" s="30" t="n">
        <f aca="false">INT((A176-Inputs!$B$5)/7)</f>
        <v>12</v>
      </c>
      <c r="C176" s="30" t="n">
        <f aca="false">YEAR(A176)*100+MONTH(A176)</f>
        <v>202701</v>
      </c>
      <c r="D176" s="20" t="n">
        <f aca="false">IF(AND(A176&gt;=Inputs!$B$33,A176&lt;=Inputs!$B$34),INDEX(Inputs!$B$38:$B$49,11)*30*Inputs!$B$35/7,IF(MONTH(A176)=11,INDEX(Inputs!$B$38:$B$49,11)*30*(1-Inputs!$B$35)/23,INDEX(Inputs!$B$38:$B$49,MONTH(A176))))</f>
        <v>0.7</v>
      </c>
      <c r="E176" s="30" t="n">
        <f aca="false">IF(MONTH(A176)=1,(YEAR(A176)-1)*100+12,YEAR(A176)*100+MONTH(A176)-1)</f>
        <v>202612</v>
      </c>
      <c r="F176" s="20" t="n">
        <f aca="false">D176/SUMIFS($D$2:$D$176,$B$2:$B$176,B176)</f>
        <v>0.142857142857143</v>
      </c>
      <c r="G176" s="11" t="n">
        <f aca="false">INDEX(Forecast!$B$8:$Z$8,1,(B176)+13)*F176</f>
        <v>12556.8358766739</v>
      </c>
      <c r="H176" s="11" t="n">
        <f aca="false">IF(B176&gt;=0,(INDEX(Forecast!$B$8:$Z$8,1,(B176)+13)*Inputs!$B$20+Inputs!$B$22)/7,IF(C176=202610,(Inputs!$B$21+Inputs!$B$22)/7,0))</f>
        <v>3092.17422253859</v>
      </c>
      <c r="I176" s="11" t="n">
        <f aca="false">IF(DAY(A176)=22,SUMIFS($H$2:$H$176,$C$2:$C$176,E176),0)</f>
        <v>0</v>
      </c>
      <c r="J176" s="11" t="n">
        <f aca="false">IF(DAY(A176)=1,Inputs!$B$24,0)</f>
        <v>0</v>
      </c>
      <c r="K176" s="11" t="n">
        <f aca="false">IF(DAY(A176)=1,Inputs!$B$30*Inputs!$B$31/12,0)</f>
        <v>0</v>
      </c>
      <c r="L176" s="11" t="n">
        <f aca="false">IF(DAY(A176)=20,Inputs!$B$25*SUMIFS($G$2:$G$176,$C$2:$C$176,E176),0)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4" min="13" style="0" width="12"/>
    <col collapsed="false" customWidth="true" hidden="false" outlineLevel="0" max="15" min="15" style="0" width="11"/>
  </cols>
  <sheetData>
    <row r="1" customFormat="false" ht="35.05" hidden="false" customHeight="false" outlineLevel="0" collapsed="false">
      <c r="A1" s="31" t="s">
        <v>125</v>
      </c>
      <c r="B1" s="31" t="s">
        <v>126</v>
      </c>
      <c r="C1" s="31" t="s">
        <v>127</v>
      </c>
      <c r="D1" s="31" t="s">
        <v>128</v>
      </c>
      <c r="E1" s="31" t="s">
        <v>129</v>
      </c>
      <c r="F1" s="31" t="s">
        <v>130</v>
      </c>
      <c r="G1" s="31" t="s">
        <v>131</v>
      </c>
      <c r="H1" s="31" t="s">
        <v>132</v>
      </c>
      <c r="I1" s="31" t="s">
        <v>133</v>
      </c>
      <c r="J1" s="31" t="s">
        <v>134</v>
      </c>
      <c r="K1" s="31" t="s">
        <v>135</v>
      </c>
      <c r="L1" s="31" t="s">
        <v>136</v>
      </c>
      <c r="M1" s="31" t="s">
        <v>137</v>
      </c>
      <c r="N1" s="31" t="s">
        <v>138</v>
      </c>
      <c r="O1" s="31" t="s">
        <v>139</v>
      </c>
    </row>
    <row r="2" customFormat="false" ht="15" hidden="false" customHeight="false" outlineLevel="0" collapsed="false">
      <c r="A2" s="5" t="s">
        <v>140</v>
      </c>
      <c r="B2" s="5" t="s">
        <v>141</v>
      </c>
      <c r="C2" s="5" t="s">
        <v>142</v>
      </c>
      <c r="D2" s="16" t="n">
        <v>1</v>
      </c>
      <c r="E2" s="16" t="n">
        <v>3</v>
      </c>
      <c r="F2" s="32" t="n">
        <f aca="false">E2</f>
        <v>3</v>
      </c>
      <c r="G2" s="2"/>
      <c r="H2" s="33"/>
      <c r="I2" s="2"/>
      <c r="J2" s="7" t="n">
        <v>520000</v>
      </c>
      <c r="K2" s="9" t="n">
        <v>0</v>
      </c>
      <c r="L2" s="16" t="n">
        <v>0</v>
      </c>
      <c r="M2" s="11" t="n">
        <f aca="false">J2*(1-K2*L2)</f>
        <v>520000</v>
      </c>
      <c r="N2" s="5" t="str">
        <f aca="false">IF(K2&gt;0,D2+1,"-")</f>
        <v>-</v>
      </c>
      <c r="O2" s="5" t="s">
        <v>143</v>
      </c>
    </row>
    <row r="3" customFormat="false" ht="15" hidden="false" customHeight="false" outlineLevel="0" collapsed="false">
      <c r="A3" s="5" t="s">
        <v>144</v>
      </c>
      <c r="B3" s="5" t="s">
        <v>145</v>
      </c>
      <c r="C3" s="5" t="s">
        <v>142</v>
      </c>
      <c r="D3" s="16" t="n">
        <v>8</v>
      </c>
      <c r="E3" s="16" t="n">
        <v>10</v>
      </c>
      <c r="F3" s="32" t="n">
        <f aca="false">E3</f>
        <v>10</v>
      </c>
      <c r="G3" s="2"/>
      <c r="H3" s="33"/>
      <c r="I3" s="2"/>
      <c r="J3" s="7" t="n">
        <v>200000</v>
      </c>
      <c r="K3" s="9" t="n">
        <v>0</v>
      </c>
      <c r="L3" s="16" t="n">
        <v>0</v>
      </c>
      <c r="M3" s="11" t="n">
        <f aca="false">J3*(1-K3*L3)</f>
        <v>200000</v>
      </c>
      <c r="N3" s="5" t="str">
        <f aca="false">IF(K3&gt;0,D3+1,"-")</f>
        <v>-</v>
      </c>
      <c r="O3" s="5" t="s">
        <v>143</v>
      </c>
    </row>
    <row r="4" customFormat="false" ht="15" hidden="false" customHeight="false" outlineLevel="0" collapsed="false">
      <c r="A4" s="5" t="s">
        <v>146</v>
      </c>
      <c r="B4" s="5" t="s">
        <v>147</v>
      </c>
      <c r="C4" s="5" t="s">
        <v>148</v>
      </c>
      <c r="D4" s="16" t="n">
        <v>1</v>
      </c>
      <c r="E4" s="16" t="n">
        <v>3</v>
      </c>
      <c r="F4" s="32" t="n">
        <f aca="false">E4</f>
        <v>3</v>
      </c>
      <c r="G4" s="2"/>
      <c r="H4" s="33"/>
      <c r="I4" s="2"/>
      <c r="J4" s="7" t="n">
        <v>95000</v>
      </c>
      <c r="K4" s="9" t="n">
        <v>0</v>
      </c>
      <c r="L4" s="16" t="n">
        <v>0</v>
      </c>
      <c r="M4" s="11" t="n">
        <f aca="false">J4*(1-K4*L4)</f>
        <v>95000</v>
      </c>
      <c r="N4" s="5" t="str">
        <f aca="false">IF(K4&gt;0,D4+1,"-")</f>
        <v>-</v>
      </c>
      <c r="O4" s="5" t="s">
        <v>149</v>
      </c>
    </row>
    <row r="5" customFormat="false" ht="15" hidden="false" customHeight="false" outlineLevel="0" collapsed="false">
      <c r="A5" s="5" t="s">
        <v>150</v>
      </c>
      <c r="B5" s="5" t="s">
        <v>151</v>
      </c>
      <c r="C5" s="5" t="s">
        <v>152</v>
      </c>
      <c r="D5" s="5" t="n">
        <f aca="false">INT((DATE(2026,11,10)-Inputs!$B$5)/7)</f>
        <v>2</v>
      </c>
      <c r="E5" s="5" t="n">
        <f aca="false">D5+4</f>
        <v>6</v>
      </c>
      <c r="F5" s="32" t="n">
        <f aca="false">E5</f>
        <v>6</v>
      </c>
      <c r="G5" s="16" t="n">
        <v>202610</v>
      </c>
      <c r="H5" s="34" t="n">
        <f aca="false">SUMIFS(Calendar!$G$2:$G$176,Calendar!$C$2:$C$176,G5)</f>
        <v>556088.445966988</v>
      </c>
      <c r="I5" s="9" t="n">
        <v>0.125</v>
      </c>
      <c r="J5" s="11" t="n">
        <f aca="false">H5*I5</f>
        <v>69511.0557458735</v>
      </c>
      <c r="K5" s="9" t="n">
        <v>0.02</v>
      </c>
      <c r="L5" s="16" t="n">
        <v>0</v>
      </c>
      <c r="M5" s="11" t="n">
        <f aca="false">J5*(1-K5*L5)</f>
        <v>69511.0557458735</v>
      </c>
      <c r="N5" s="5" t="n">
        <f aca="false">IF(K5&gt;0,D5+1,"-")</f>
        <v>3</v>
      </c>
      <c r="O5" s="5" t="s">
        <v>149</v>
      </c>
    </row>
    <row r="6" customFormat="false" ht="15" hidden="false" customHeight="false" outlineLevel="0" collapsed="false">
      <c r="A6" s="5" t="s">
        <v>153</v>
      </c>
      <c r="B6" s="5" t="s">
        <v>151</v>
      </c>
      <c r="C6" s="5" t="s">
        <v>152</v>
      </c>
      <c r="D6" s="5" t="n">
        <f aca="false">INT((DATE(2026,12,10)-Inputs!$B$5)/7)</f>
        <v>6</v>
      </c>
      <c r="E6" s="5" t="n">
        <f aca="false">D6+4</f>
        <v>10</v>
      </c>
      <c r="F6" s="32" t="n">
        <f aca="false">E6</f>
        <v>10</v>
      </c>
      <c r="G6" s="16" t="n">
        <v>202611</v>
      </c>
      <c r="H6" s="34" t="n">
        <f aca="false">SUMIFS(Calendar!$G$2:$G$176,Calendar!$C$2:$C$176,G6)</f>
        <v>1130115.22890065</v>
      </c>
      <c r="I6" s="9" t="n">
        <v>0.125</v>
      </c>
      <c r="J6" s="11" t="n">
        <f aca="false">H6*I6</f>
        <v>141264.403612582</v>
      </c>
      <c r="K6" s="9" t="n">
        <v>0.02</v>
      </c>
      <c r="L6" s="16" t="n">
        <v>0</v>
      </c>
      <c r="M6" s="11" t="n">
        <f aca="false">J6*(1-K6*L6)</f>
        <v>141264.403612582</v>
      </c>
      <c r="N6" s="5" t="n">
        <f aca="false">IF(K6&gt;0,D6+1,"-")</f>
        <v>7</v>
      </c>
      <c r="O6" s="5" t="s">
        <v>149</v>
      </c>
    </row>
    <row r="7" customFormat="false" ht="15" hidden="false" customHeight="false" outlineLevel="0" collapsed="false">
      <c r="A7" s="5" t="s">
        <v>154</v>
      </c>
      <c r="B7" s="5" t="s">
        <v>151</v>
      </c>
      <c r="C7" s="5" t="s">
        <v>152</v>
      </c>
      <c r="D7" s="5" t="n">
        <f aca="false">INT((DATE(2027,1,10)-Inputs!$B$5)/7)</f>
        <v>10</v>
      </c>
      <c r="E7" s="5" t="n">
        <f aca="false">D7+4</f>
        <v>14</v>
      </c>
      <c r="F7" s="32" t="n">
        <f aca="false">E7</f>
        <v>14</v>
      </c>
      <c r="G7" s="16" t="n">
        <v>202612</v>
      </c>
      <c r="H7" s="34" t="n">
        <f aca="false">SUMIFS(Calendar!$G$2:$G$176,Calendar!$C$2:$C$176,G7)</f>
        <v>889741.513547181</v>
      </c>
      <c r="I7" s="9" t="n">
        <v>0.125</v>
      </c>
      <c r="J7" s="11" t="n">
        <f aca="false">H7*I7</f>
        <v>111217.689193398</v>
      </c>
      <c r="K7" s="9" t="n">
        <v>0.02</v>
      </c>
      <c r="L7" s="16" t="n">
        <v>0</v>
      </c>
      <c r="M7" s="11" t="n">
        <f aca="false">J7*(1-K7*L7)</f>
        <v>111217.689193398</v>
      </c>
      <c r="N7" s="5" t="n">
        <f aca="false">IF(K7&gt;0,D7+1,"-")</f>
        <v>11</v>
      </c>
      <c r="O7" s="5" t="s">
        <v>149</v>
      </c>
    </row>
    <row r="8" customFormat="false" ht="15" hidden="false" customHeight="false" outlineLevel="0" collapsed="false">
      <c r="A8" s="5" t="s">
        <v>155</v>
      </c>
      <c r="B8" s="5" t="s">
        <v>156</v>
      </c>
      <c r="C8" s="5" t="s">
        <v>157</v>
      </c>
      <c r="D8" s="5" t="n">
        <f aca="false">INT((DATE(2026,11,5)-Inputs!$B$5)/7)</f>
        <v>1</v>
      </c>
      <c r="E8" s="5" t="n">
        <f aca="false">D8+4</f>
        <v>5</v>
      </c>
      <c r="F8" s="32" t="n">
        <f aca="false">E8</f>
        <v>5</v>
      </c>
      <c r="G8" s="16" t="n">
        <v>202610</v>
      </c>
      <c r="H8" s="34" t="n">
        <f aca="false">SUMIFS(Calendar!$G$2:$G$176,Calendar!$C$2:$C$176,G8)</f>
        <v>556088.445966988</v>
      </c>
      <c r="I8" s="9" t="n">
        <v>0.01</v>
      </c>
      <c r="J8" s="11" t="n">
        <f aca="false">H8*I8</f>
        <v>5560.88445966988</v>
      </c>
      <c r="K8" s="9" t="n">
        <v>0.01</v>
      </c>
      <c r="L8" s="16" t="n">
        <v>0</v>
      </c>
      <c r="M8" s="11" t="n">
        <f aca="false">J8*(1-K8*L8)</f>
        <v>5560.88445966988</v>
      </c>
      <c r="N8" s="5" t="n">
        <f aca="false">IF(K8&gt;0,D8+1,"-")</f>
        <v>2</v>
      </c>
      <c r="O8" s="5" t="s">
        <v>158</v>
      </c>
    </row>
    <row r="9" customFormat="false" ht="15" hidden="false" customHeight="false" outlineLevel="0" collapsed="false">
      <c r="A9" s="5" t="s">
        <v>159</v>
      </c>
      <c r="B9" s="5" t="s">
        <v>156</v>
      </c>
      <c r="C9" s="5" t="s">
        <v>157</v>
      </c>
      <c r="D9" s="5" t="n">
        <f aca="false">INT((DATE(2026,12,5)-Inputs!$B$5)/7)</f>
        <v>5</v>
      </c>
      <c r="E9" s="5" t="n">
        <f aca="false">D9+4</f>
        <v>9</v>
      </c>
      <c r="F9" s="32" t="n">
        <f aca="false">E9</f>
        <v>9</v>
      </c>
      <c r="G9" s="16" t="n">
        <v>202611</v>
      </c>
      <c r="H9" s="34" t="n">
        <f aca="false">SUMIFS(Calendar!$G$2:$G$176,Calendar!$C$2:$C$176,G9)</f>
        <v>1130115.22890065</v>
      </c>
      <c r="I9" s="9" t="n">
        <v>0.01</v>
      </c>
      <c r="J9" s="11" t="n">
        <f aca="false">H9*I9</f>
        <v>11301.1522890065</v>
      </c>
      <c r="K9" s="9" t="n">
        <v>0.01</v>
      </c>
      <c r="L9" s="16" t="n">
        <v>0</v>
      </c>
      <c r="M9" s="11" t="n">
        <f aca="false">J9*(1-K9*L9)</f>
        <v>11301.1522890065</v>
      </c>
      <c r="N9" s="5" t="n">
        <f aca="false">IF(K9&gt;0,D9+1,"-")</f>
        <v>6</v>
      </c>
      <c r="O9" s="5" t="s">
        <v>158</v>
      </c>
    </row>
    <row r="10" customFormat="false" ht="15" hidden="false" customHeight="false" outlineLevel="0" collapsed="false">
      <c r="A10" s="5" t="s">
        <v>160</v>
      </c>
      <c r="B10" s="5" t="s">
        <v>156</v>
      </c>
      <c r="C10" s="5" t="s">
        <v>157</v>
      </c>
      <c r="D10" s="5" t="n">
        <f aca="false">INT((DATE(2027,1,5)-Inputs!$B$5)/7)</f>
        <v>10</v>
      </c>
      <c r="E10" s="5" t="n">
        <f aca="false">D10+4</f>
        <v>14</v>
      </c>
      <c r="F10" s="32" t="n">
        <f aca="false">E10</f>
        <v>14</v>
      </c>
      <c r="G10" s="16" t="n">
        <v>202612</v>
      </c>
      <c r="H10" s="34" t="n">
        <f aca="false">SUMIFS(Calendar!$G$2:$G$176,Calendar!$C$2:$C$176,G10)</f>
        <v>889741.513547181</v>
      </c>
      <c r="I10" s="9" t="n">
        <v>0.01</v>
      </c>
      <c r="J10" s="11" t="n">
        <f aca="false">H10*I10</f>
        <v>8897.41513547181</v>
      </c>
      <c r="K10" s="9" t="n">
        <v>0.01</v>
      </c>
      <c r="L10" s="16" t="n">
        <v>0</v>
      </c>
      <c r="M10" s="11" t="n">
        <f aca="false">J10*(1-K10*L10)</f>
        <v>8897.41513547181</v>
      </c>
      <c r="N10" s="5" t="n">
        <f aca="false">IF(K10&gt;0,D10+1,"-")</f>
        <v>11</v>
      </c>
      <c r="O10" s="5" t="s">
        <v>158</v>
      </c>
    </row>
    <row r="11" customFormat="false" ht="15" hidden="false" customHeight="false" outlineLevel="0" collapsed="false">
      <c r="A11" s="5" t="s">
        <v>161</v>
      </c>
      <c r="B11" s="5" t="s">
        <v>162</v>
      </c>
      <c r="C11" s="5" t="s">
        <v>157</v>
      </c>
      <c r="D11" s="16" t="n">
        <v>5</v>
      </c>
      <c r="E11" s="16" t="n">
        <v>9</v>
      </c>
      <c r="F11" s="32" t="n">
        <f aca="false">E11</f>
        <v>9</v>
      </c>
      <c r="G11" s="2"/>
      <c r="H11" s="33"/>
      <c r="I11" s="2"/>
      <c r="J11" s="7" t="n">
        <v>9000</v>
      </c>
      <c r="K11" s="9" t="n">
        <v>0</v>
      </c>
      <c r="L11" s="16" t="n">
        <v>0</v>
      </c>
      <c r="M11" s="11" t="n">
        <f aca="false">J11*(1-K11*L11)</f>
        <v>9000</v>
      </c>
      <c r="N11" s="5" t="str">
        <f aca="false">IF(K11&gt;0,D11+1,"-")</f>
        <v>-</v>
      </c>
      <c r="O11" s="5" t="s">
        <v>163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3" t="s">
        <v>164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4"/>
  </cols>
  <sheetData>
    <row r="1" customFormat="false" ht="16.15" hidden="false" customHeight="false" outlineLevel="0" collapsed="false">
      <c r="A1" s="1" t="s">
        <v>165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166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77</v>
      </c>
      <c r="B4" s="4" t="s">
        <v>167</v>
      </c>
      <c r="C4" s="4" t="s">
        <v>168</v>
      </c>
      <c r="D4" s="4" t="s">
        <v>169</v>
      </c>
      <c r="E4" s="4" t="s">
        <v>170</v>
      </c>
    </row>
    <row r="5" customFormat="false" ht="15" hidden="false" customHeight="false" outlineLevel="0" collapsed="false">
      <c r="A5" s="35" t="n">
        <f aca="false">Forecast!N5</f>
        <v>46321</v>
      </c>
      <c r="B5" s="33" t="n">
        <f aca="false">Forecast!N37</f>
        <v>428959.738653693</v>
      </c>
      <c r="C5" s="7" t="n">
        <v>428959.74</v>
      </c>
      <c r="D5" s="33" t="n">
        <f aca="false">B5-C5</f>
        <v>-0.00134630734100938</v>
      </c>
      <c r="E5" s="36" t="n">
        <f aca="false">IF(C5=0,0,D5/C5)</f>
        <v>-3.13854009005456E-009</v>
      </c>
    </row>
    <row r="6" customFormat="false" ht="15" hidden="false" customHeight="false" outlineLevel="0" collapsed="false">
      <c r="A6" s="35" t="n">
        <f aca="false">Forecast!O5</f>
        <v>46328</v>
      </c>
      <c r="B6" s="33" t="n">
        <f aca="false">Forecast!O37</f>
        <v>567282.129060101</v>
      </c>
      <c r="C6" s="7" t="n">
        <v>567282.13</v>
      </c>
      <c r="D6" s="33" t="n">
        <f aca="false">B6-C6</f>
        <v>-0.000939898774959147</v>
      </c>
      <c r="E6" s="36" t="n">
        <f aca="false">IF(C6=0,0,D6/C6)</f>
        <v>-1.65684537772968E-009</v>
      </c>
    </row>
    <row r="7" customFormat="false" ht="15" hidden="false" customHeight="false" outlineLevel="0" collapsed="false">
      <c r="A7" s="35" t="n">
        <f aca="false">Forecast!P5</f>
        <v>46335</v>
      </c>
      <c r="B7" s="33" t="n">
        <f aca="false">Forecast!P37</f>
        <v>803901.62404084</v>
      </c>
      <c r="C7" s="7" t="n">
        <v>803901.62</v>
      </c>
      <c r="D7" s="33" t="n">
        <f aca="false">B7-C7</f>
        <v>0.00404083996545523</v>
      </c>
      <c r="E7" s="36" t="n">
        <f aca="false">IF(C7=0,0,D7/C7)</f>
        <v>5.02653541792245E-009</v>
      </c>
    </row>
    <row r="8" customFormat="false" ht="15" hidden="false" customHeight="false" outlineLevel="0" collapsed="false">
      <c r="A8" s="35" t="n">
        <f aca="false">Forecast!Q5</f>
        <v>46342</v>
      </c>
      <c r="B8" s="33" t="n">
        <f aca="false">Forecast!Q37</f>
        <v>194498.065117201</v>
      </c>
      <c r="C8" s="7" t="n">
        <v>194498.07</v>
      </c>
      <c r="D8" s="33" t="n">
        <f aca="false">B8-C8</f>
        <v>-0.00488279893761501</v>
      </c>
      <c r="E8" s="36" t="n">
        <f aca="false">IF(C8=0,0,D8/C8)</f>
        <v>-2.51046138278648E-008</v>
      </c>
    </row>
    <row r="9" customFormat="false" ht="15" hidden="false" customHeight="false" outlineLevel="0" collapsed="false">
      <c r="A9" s="35" t="n">
        <f aca="false">Forecast!R5</f>
        <v>46349</v>
      </c>
      <c r="B9" s="33" t="n">
        <f aca="false">Forecast!R37</f>
        <v>595308.005355411</v>
      </c>
      <c r="C9" s="7" t="n">
        <v>595308.01</v>
      </c>
      <c r="D9" s="33" t="n">
        <f aca="false">B9-C9</f>
        <v>-0.00464458949863911</v>
      </c>
      <c r="E9" s="36" t="n">
        <f aca="false">IF(C9=0,0,D9/C9)</f>
        <v>-7.80199396046948E-009</v>
      </c>
    </row>
    <row r="10" customFormat="false" ht="15" hidden="false" customHeight="false" outlineLevel="0" collapsed="false">
      <c r="A10" s="35" t="n">
        <f aca="false">Forecast!S5</f>
        <v>46356</v>
      </c>
      <c r="B10" s="33" t="n">
        <f aca="false">Forecast!S37</f>
        <v>807895.219242987</v>
      </c>
      <c r="C10" s="7" t="n">
        <v>807895.22</v>
      </c>
      <c r="D10" s="33" t="n">
        <f aca="false">B10-C10</f>
        <v>-0.0007570133311674</v>
      </c>
      <c r="E10" s="36" t="n">
        <f aca="false">IF(C10=0,0,D10/C10)</f>
        <v>-9.37019198068036E-010</v>
      </c>
    </row>
    <row r="11" customFormat="false" ht="15" hidden="false" customHeight="false" outlineLevel="0" collapsed="false">
      <c r="A11" s="35" t="n">
        <f aca="false">Forecast!T5</f>
        <v>46363</v>
      </c>
      <c r="B11" s="33" t="n">
        <f aca="false">Forecast!T37</f>
        <v>992298.879234761</v>
      </c>
      <c r="C11" s="7" t="n">
        <v>992298.88</v>
      </c>
      <c r="D11" s="33" t="n">
        <f aca="false">B11-C11</f>
        <v>-0.000765239237807691</v>
      </c>
      <c r="E11" s="36" t="n">
        <f aca="false">IF(C11=0,0,D11/C11)</f>
        <v>-7.7117817346291E-010</v>
      </c>
    </row>
    <row r="12" customFormat="false" ht="15" hidden="false" customHeight="false" outlineLevel="0" collapsed="false">
      <c r="A12" s="35" t="n">
        <f aca="false">Forecast!U5</f>
        <v>46370</v>
      </c>
      <c r="B12" s="33" t="n">
        <f aca="false">Forecast!U37</f>
        <v>1104974.98938347</v>
      </c>
      <c r="C12" s="7" t="n">
        <v>1104974.99</v>
      </c>
      <c r="D12" s="33" t="n">
        <f aca="false">B12-C12</f>
        <v>-0.000616531586274505</v>
      </c>
      <c r="E12" s="36" t="n">
        <f aca="false">IF(C12=0,0,D12/C12)</f>
        <v>-5.5795976547352E-010</v>
      </c>
    </row>
    <row r="13" customFormat="false" ht="15" hidden="false" customHeight="false" outlineLevel="0" collapsed="false">
      <c r="A13" s="35" t="n">
        <f aca="false">Forecast!V5</f>
        <v>46377</v>
      </c>
      <c r="B13" s="33" t="n">
        <f aca="false">Forecast!V37</f>
        <v>1084791.29965946</v>
      </c>
      <c r="C13" s="7" t="n">
        <v>1084791.3</v>
      </c>
      <c r="D13" s="33" t="n">
        <f aca="false">B13-C13</f>
        <v>-0.000340544153004885</v>
      </c>
      <c r="E13" s="36" t="n">
        <f aca="false">IF(C13=0,0,D13/C13)</f>
        <v>-3.13925962537573E-010</v>
      </c>
    </row>
    <row r="14" customFormat="false" ht="15" hidden="false" customHeight="false" outlineLevel="0" collapsed="false">
      <c r="A14" s="35" t="n">
        <f aca="false">Forecast!W5</f>
        <v>46384</v>
      </c>
      <c r="B14" s="33" t="n">
        <f aca="false">Forecast!W37</f>
        <v>1163983.55690094</v>
      </c>
      <c r="C14" s="7" t="n">
        <v>1163983.56</v>
      </c>
      <c r="D14" s="33" t="n">
        <f aca="false">B14-C14</f>
        <v>-0.0030990622472018</v>
      </c>
      <c r="E14" s="36" t="n">
        <f aca="false">IF(C14=0,0,D14/C14)</f>
        <v>-2.66246221484589E-009</v>
      </c>
    </row>
    <row r="15" customFormat="false" ht="15" hidden="false" customHeight="false" outlineLevel="0" collapsed="false">
      <c r="A15" s="35" t="n">
        <f aca="false">Forecast!X5</f>
        <v>46391</v>
      </c>
      <c r="B15" s="33" t="n">
        <f aca="false">Forecast!X37</f>
        <v>968080.372108181</v>
      </c>
      <c r="C15" s="7" t="n">
        <v>968080.37</v>
      </c>
      <c r="D15" s="33" t="n">
        <f aca="false">B15-C15</f>
        <v>0.00210818066261709</v>
      </c>
      <c r="E15" s="36" t="n">
        <f aca="false">IF(C15=0,0,D15/C15)</f>
        <v>2.1776917784389E-009</v>
      </c>
    </row>
    <row r="16" customFormat="false" ht="15" hidden="false" customHeight="false" outlineLevel="0" collapsed="false">
      <c r="A16" s="35" t="n">
        <f aca="false">Forecast!Y5</f>
        <v>46398</v>
      </c>
      <c r="B16" s="33" t="n">
        <f aca="false">Forecast!Y37</f>
        <v>1015386.6865817</v>
      </c>
      <c r="C16" s="7" t="n">
        <v>1015386.69</v>
      </c>
      <c r="D16" s="33" t="n">
        <f aca="false">B16-C16</f>
        <v>-0.00341830437537283</v>
      </c>
      <c r="E16" s="36" t="n">
        <f aca="false">IF(C16=0,0,D16/C16)</f>
        <v>-3.36650500645506E-009</v>
      </c>
    </row>
    <row r="17" customFormat="false" ht="15" hidden="false" customHeight="false" outlineLevel="0" collapsed="false">
      <c r="A17" s="35" t="n">
        <f aca="false">Forecast!Z5</f>
        <v>46405</v>
      </c>
      <c r="B17" s="33" t="n">
        <f aca="false">Forecast!Z37</f>
        <v>889387.838483229</v>
      </c>
      <c r="C17" s="7" t="n">
        <v>889387.84</v>
      </c>
      <c r="D17" s="33" t="n">
        <f aca="false">B17-C17</f>
        <v>-0.00151677115354687</v>
      </c>
      <c r="E17" s="36" t="n">
        <f aca="false">IF(C17=0,0,D17/C17)</f>
        <v>-1.70541026684924E-009</v>
      </c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13" t="s">
        <v>171</v>
      </c>
      <c r="B19" s="37" t="n">
        <f aca="false">MAX(MAX(E5:E17),-MIN(E5:E17))</f>
        <v>2.51046138278648E-008</v>
      </c>
      <c r="C19" s="2"/>
      <c r="D19" s="2"/>
      <c r="E19" s="2"/>
    </row>
    <row r="20" customFormat="false" ht="15" hidden="false" customHeight="false" outlineLevel="0" collapsed="false">
      <c r="A20" s="5" t="s">
        <v>172</v>
      </c>
      <c r="B20" s="7" t="n">
        <v>194498.07</v>
      </c>
      <c r="C20" s="2"/>
      <c r="D20" s="2"/>
      <c r="E20" s="2"/>
    </row>
    <row r="21" customFormat="false" ht="15" hidden="false" customHeight="false" outlineLevel="0" collapsed="false">
      <c r="A21" s="5" t="s">
        <v>173</v>
      </c>
      <c r="B21" s="34" t="n">
        <f aca="false">Forecast!B44</f>
        <v>194498.065117201</v>
      </c>
      <c r="C21" s="2"/>
      <c r="D21" s="2"/>
      <c r="E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2026-10-27T09:20:09Z</dcterms:created>
  <dc:creator>openpyxl</dc:creator>
  <dc:description/>
  <dc:language>en-US</dc:language>
  <cp:lastModifiedBy/>
  <dcterms:modified xsi:type="dcterms:W3CDTF">2026-10-27T09:20:09Z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